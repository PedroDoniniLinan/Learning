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ba\OneDrive\Документы\"/>
    </mc:Choice>
  </mc:AlternateContent>
  <xr:revisionPtr revIDLastSave="0" documentId="13_ncr:1_{E601D240-29F2-4365-A7E7-490413C93D1E}" xr6:coauthVersionLast="47" xr6:coauthVersionMax="47" xr10:uidLastSave="{00000000-0000-0000-0000-000000000000}"/>
  <bookViews>
    <workbookView xWindow="12444" yWindow="12" windowWidth="10596" windowHeight="12336" activeTab="2" xr2:uid="{9C4E5FF1-B9C6-4C1F-B8D8-44CCA602123B}"/>
  </bookViews>
  <sheets>
    <sheet name="Sheet1" sheetId="1" r:id="rId1"/>
    <sheet name="Sheet1 (2)" sheetId="3" r:id="rId2"/>
    <sheet name="Лист1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L7" i="2" s="1"/>
  <c r="A43" i="3"/>
  <c r="K43" i="3"/>
  <c r="Q41" i="3"/>
  <c r="L43" i="3"/>
  <c r="L45" i="3" s="1"/>
  <c r="Q45" i="3" s="1"/>
  <c r="N43" i="3"/>
  <c r="N45" i="3" s="1"/>
  <c r="S45" i="3" s="1"/>
  <c r="M43" i="3"/>
  <c r="M45" i="3" s="1"/>
  <c r="R45" i="3" s="1"/>
  <c r="D43" i="3"/>
  <c r="D45" i="3" s="1"/>
  <c r="I45" i="3" s="1"/>
  <c r="C43" i="3"/>
  <c r="C45" i="3" s="1"/>
  <c r="H45" i="3" s="1"/>
  <c r="B43" i="3"/>
  <c r="B45" i="3" s="1"/>
  <c r="G45" i="3" s="1"/>
  <c r="S41" i="3"/>
  <c r="R41" i="3"/>
  <c r="I41" i="3"/>
  <c r="H41" i="3"/>
  <c r="G41" i="3"/>
  <c r="B36" i="3"/>
  <c r="N29" i="3"/>
  <c r="M29" i="3"/>
  <c r="M31" i="3" s="1"/>
  <c r="R31" i="3" s="1"/>
  <c r="L29" i="3"/>
  <c r="L34" i="3" s="1"/>
  <c r="D29" i="3"/>
  <c r="D31" i="3" s="1"/>
  <c r="I31" i="3" s="1"/>
  <c r="C29" i="3"/>
  <c r="C31" i="3" s="1"/>
  <c r="H31" i="3" s="1"/>
  <c r="B29" i="3"/>
  <c r="B31" i="3" s="1"/>
  <c r="G31" i="3" s="1"/>
  <c r="S27" i="3"/>
  <c r="R27" i="3"/>
  <c r="Q27" i="3"/>
  <c r="I27" i="3"/>
  <c r="H27" i="3"/>
  <c r="G27" i="3"/>
  <c r="B24" i="3"/>
  <c r="A24" i="3"/>
  <c r="M19" i="3"/>
  <c r="R19" i="3" s="1"/>
  <c r="L19" i="3"/>
  <c r="L21" i="3" s="1"/>
  <c r="C19" i="3"/>
  <c r="C21" i="3" s="1"/>
  <c r="B19" i="3"/>
  <c r="B21" i="3" s="1"/>
  <c r="N17" i="3"/>
  <c r="N19" i="3" s="1"/>
  <c r="N21" i="3" s="1"/>
  <c r="D17" i="3"/>
  <c r="D19" i="3" s="1"/>
  <c r="I19" i="3" s="1"/>
  <c r="S15" i="3"/>
  <c r="R15" i="3"/>
  <c r="Q15" i="3"/>
  <c r="I15" i="3"/>
  <c r="H15" i="3"/>
  <c r="G15" i="3"/>
  <c r="L11" i="3"/>
  <c r="N9" i="3"/>
  <c r="S9" i="3" s="1"/>
  <c r="M9" i="3"/>
  <c r="M11" i="3" s="1"/>
  <c r="L9" i="3"/>
  <c r="Q9" i="3" s="1"/>
  <c r="D9" i="3"/>
  <c r="D11" i="3" s="1"/>
  <c r="C9" i="3"/>
  <c r="H9" i="3" s="1"/>
  <c r="B9" i="3"/>
  <c r="G9" i="3" s="1"/>
  <c r="S5" i="3"/>
  <c r="R5" i="3"/>
  <c r="Q5" i="3"/>
  <c r="I5" i="3"/>
  <c r="H5" i="3"/>
  <c r="G5" i="3"/>
  <c r="K1" i="2"/>
  <c r="M7" i="2"/>
  <c r="K6" i="2"/>
  <c r="K7" i="2" s="1"/>
  <c r="C23" i="2"/>
  <c r="B23" i="2"/>
  <c r="C40" i="1"/>
  <c r="D40" i="1"/>
  <c r="B40" i="1"/>
  <c r="J1" i="2"/>
  <c r="Q4" i="2"/>
  <c r="R4" i="2" s="1"/>
  <c r="Q7" i="2"/>
  <c r="I1" i="2"/>
  <c r="H1" i="2"/>
  <c r="G1" i="2"/>
  <c r="F1" i="2"/>
  <c r="E1" i="2"/>
  <c r="D1" i="2"/>
  <c r="C1" i="2"/>
  <c r="J6" i="2"/>
  <c r="J7" i="2" s="1"/>
  <c r="I6" i="2"/>
  <c r="I7" i="2" s="1"/>
  <c r="H6" i="2"/>
  <c r="H7" i="2" s="1"/>
  <c r="G6" i="2"/>
  <c r="G7" i="2" s="1"/>
  <c r="F6" i="2"/>
  <c r="F7" i="2" s="1"/>
  <c r="E6" i="2"/>
  <c r="E7" i="2" s="1"/>
  <c r="G27" i="1"/>
  <c r="D29" i="1"/>
  <c r="D31" i="1" s="1"/>
  <c r="B36" i="1"/>
  <c r="S27" i="1"/>
  <c r="R27" i="1"/>
  <c r="Q27" i="1"/>
  <c r="I27" i="1"/>
  <c r="H27" i="1"/>
  <c r="Q15" i="1"/>
  <c r="A24" i="1"/>
  <c r="M19" i="1"/>
  <c r="R19" i="1" s="1"/>
  <c r="S5" i="1"/>
  <c r="R5" i="1"/>
  <c r="Q5" i="1"/>
  <c r="S15" i="1"/>
  <c r="R15" i="1"/>
  <c r="C19" i="1"/>
  <c r="D17" i="1"/>
  <c r="H15" i="1"/>
  <c r="I15" i="1"/>
  <c r="G15" i="1"/>
  <c r="H5" i="1"/>
  <c r="I5" i="1"/>
  <c r="G5" i="1"/>
  <c r="C9" i="1"/>
  <c r="H9" i="1" s="1"/>
  <c r="B24" i="1"/>
  <c r="L9" i="1"/>
  <c r="L11" i="1" s="1"/>
  <c r="B9" i="1"/>
  <c r="B11" i="1" s="1"/>
  <c r="L19" i="1"/>
  <c r="L21" i="1" s="1"/>
  <c r="N17" i="1"/>
  <c r="N19" i="1" s="1"/>
  <c r="S19" i="1" s="1"/>
  <c r="B19" i="1"/>
  <c r="B21" i="1" s="1"/>
  <c r="N9" i="1"/>
  <c r="S9" i="1" s="1"/>
  <c r="M9" i="1"/>
  <c r="M11" i="1" s="1"/>
  <c r="D9" i="1"/>
  <c r="D11" i="1" s="1"/>
  <c r="H19" i="3" l="1"/>
  <c r="I9" i="1"/>
  <c r="M21" i="3"/>
  <c r="D23" i="2"/>
  <c r="C34" i="3"/>
  <c r="C11" i="1"/>
  <c r="I21" i="3"/>
  <c r="J21" i="3" s="1"/>
  <c r="I33" i="3"/>
  <c r="J33" i="3" s="1"/>
  <c r="M34" i="3"/>
  <c r="B34" i="3"/>
  <c r="N11" i="1"/>
  <c r="R9" i="3"/>
  <c r="I22" i="3" s="1"/>
  <c r="B48" i="3"/>
  <c r="B11" i="3"/>
  <c r="M36" i="3"/>
  <c r="C48" i="3"/>
  <c r="C11" i="3"/>
  <c r="M48" i="3"/>
  <c r="N34" i="3"/>
  <c r="N48" i="3"/>
  <c r="G9" i="1"/>
  <c r="L48" i="3"/>
  <c r="D48" i="3"/>
  <c r="I47" i="3"/>
  <c r="J47" i="3" s="1"/>
  <c r="I9" i="3"/>
  <c r="G19" i="3"/>
  <c r="S19" i="3"/>
  <c r="L31" i="3"/>
  <c r="Q31" i="3" s="1"/>
  <c r="L36" i="3"/>
  <c r="D21" i="3"/>
  <c r="N31" i="3"/>
  <c r="S31" i="3" s="1"/>
  <c r="D34" i="3"/>
  <c r="N36" i="3"/>
  <c r="N11" i="3"/>
  <c r="Q19" i="3"/>
  <c r="Q9" i="1"/>
  <c r="D19" i="1"/>
  <c r="D21" i="1" s="1"/>
  <c r="N21" i="1"/>
  <c r="R9" i="1"/>
  <c r="I22" i="1" s="1"/>
  <c r="K8" i="2"/>
  <c r="K10" i="2" s="1"/>
  <c r="D34" i="1"/>
  <c r="Q5" i="2"/>
  <c r="R5" i="2" s="1"/>
  <c r="Q19" i="1"/>
  <c r="M21" i="1"/>
  <c r="H19" i="1"/>
  <c r="I21" i="1" s="1"/>
  <c r="G23" i="1" s="1"/>
  <c r="C21" i="1"/>
  <c r="G19" i="1"/>
  <c r="I31" i="1"/>
  <c r="B29" i="1"/>
  <c r="C29" i="1"/>
  <c r="C34" i="1" s="1"/>
  <c r="G35" i="3" l="1"/>
  <c r="G23" i="3"/>
  <c r="I23" i="3"/>
  <c r="H23" i="3" s="1"/>
  <c r="I19" i="1"/>
  <c r="I23" i="1"/>
  <c r="H23" i="1" s="1"/>
  <c r="J21" i="1"/>
  <c r="B31" i="1"/>
  <c r="G31" i="1" s="1"/>
  <c r="B34" i="1"/>
  <c r="C31" i="1"/>
  <c r="H31" i="1" s="1"/>
  <c r="L29" i="1"/>
  <c r="M29" i="1"/>
  <c r="M36" i="1" s="1"/>
  <c r="L34" i="1" l="1"/>
  <c r="L36" i="1"/>
  <c r="L31" i="1"/>
  <c r="Q31" i="1" s="1"/>
  <c r="M31" i="1"/>
  <c r="R31" i="1" s="1"/>
  <c r="I33" i="1" s="1"/>
  <c r="J33" i="1" s="1"/>
  <c r="M34" i="1"/>
  <c r="N29" i="1"/>
  <c r="N36" i="1" s="1"/>
  <c r="N31" i="1" l="1"/>
  <c r="S31" i="1" s="1"/>
  <c r="N34" i="1"/>
  <c r="G35" i="1"/>
</calcChain>
</file>

<file path=xl/sharedStrings.xml><?xml version="1.0" encoding="utf-8"?>
<sst xmlns="http://schemas.openxmlformats.org/spreadsheetml/2006/main" count="111" uniqueCount="30">
  <si>
    <t>now</t>
  </si>
  <si>
    <t>package</t>
  </si>
  <si>
    <t>price in package</t>
  </si>
  <si>
    <t>discount</t>
  </si>
  <si>
    <t>I get</t>
  </si>
  <si>
    <t>Friendly conversation</t>
  </si>
  <si>
    <t>Russian for beginners</t>
  </si>
  <si>
    <t>option 1</t>
  </si>
  <si>
    <t>Classes</t>
  </si>
  <si>
    <t>Уроки</t>
  </si>
  <si>
    <t>feb</t>
  </si>
  <si>
    <t>mar</t>
  </si>
  <si>
    <t>apr</t>
  </si>
  <si>
    <t>may</t>
  </si>
  <si>
    <t>june</t>
  </si>
  <si>
    <t>july</t>
  </si>
  <si>
    <t>aug</t>
  </si>
  <si>
    <t>update 2</t>
  </si>
  <si>
    <t>sep</t>
  </si>
  <si>
    <t>oct</t>
  </si>
  <si>
    <t>nov</t>
  </si>
  <si>
    <t>Dream</t>
  </si>
  <si>
    <t># classes</t>
  </si>
  <si>
    <t>Speaking avg $</t>
  </si>
  <si>
    <t>Beginners avg $</t>
  </si>
  <si>
    <t>USD</t>
  </si>
  <si>
    <t>BRL</t>
  </si>
  <si>
    <t>dec</t>
  </si>
  <si>
    <t>update 3</t>
  </si>
  <si>
    <t>new students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</si>
</sst>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  <numFmt numFmtId="165" formatCode="_-[$$-409]* #,##0.0_ ;_-[$$-409]* \-#,##0.0\ ;_-[$$-409]* &quot;-&quot;??_ ;_-@_ "/>
    <numFmt numFmtId="166" formatCode="_-[$$-409]* #,##0_ ;_-[$$-409]* \-#,##0\ ;_-[$$-409]* &quot;-&quot;??_ ;_-@_ "/>
    <numFmt numFmtId="167" formatCode="0.0%"/>
    <numFmt numFmtId="168" formatCode="0.0"/>
    <numFmt numFmtId="169" formatCode="_-[$$-409]* #,##0.0_ ;_-[$$-409]* \-#,##0.0\ ;_-[$$-409]* &quot;-&quot;?_ ;_-@_ 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0" fillId="0" borderId="4" xfId="0" applyBorder="1"/>
    <xf numFmtId="0" fontId="0" fillId="0" borderId="5" xfId="0" applyBorder="1"/>
    <xf numFmtId="166" fontId="0" fillId="0" borderId="4" xfId="1" applyNumberFormat="1" applyFont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0" borderId="0" xfId="1" applyNumberFormat="1" applyFont="1" applyBorder="1"/>
    <xf numFmtId="165" fontId="0" fillId="4" borderId="0" xfId="0" applyNumberFormat="1" applyFill="1"/>
    <xf numFmtId="164" fontId="0" fillId="0" borderId="5" xfId="0" applyNumberFormat="1" applyBorder="1"/>
    <xf numFmtId="165" fontId="0" fillId="0" borderId="0" xfId="1" applyNumberFormat="1" applyFont="1" applyBorder="1"/>
    <xf numFmtId="0" fontId="0" fillId="0" borderId="6" xfId="0" applyBorder="1"/>
    <xf numFmtId="9" fontId="0" fillId="0" borderId="7" xfId="2" applyFont="1" applyBorder="1"/>
    <xf numFmtId="0" fontId="0" fillId="0" borderId="7" xfId="0" applyBorder="1"/>
    <xf numFmtId="0" fontId="0" fillId="0" borderId="8" xfId="0" applyBorder="1"/>
    <xf numFmtId="166" fontId="0" fillId="0" borderId="0" xfId="0" applyNumberFormat="1"/>
    <xf numFmtId="165" fontId="0" fillId="0" borderId="0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7" fontId="0" fillId="0" borderId="0" xfId="2" applyNumberFormat="1" applyFont="1" applyBorder="1"/>
    <xf numFmtId="167" fontId="0" fillId="0" borderId="0" xfId="2" applyNumberFormat="1" applyFon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44" fontId="2" fillId="0" borderId="0" xfId="1" applyFont="1"/>
    <xf numFmtId="44" fontId="0" fillId="0" borderId="0" xfId="0" applyNumberFormat="1"/>
    <xf numFmtId="165" fontId="0" fillId="5" borderId="4" xfId="1" applyNumberFormat="1" applyFont="1" applyFill="1" applyBorder="1" applyAlignment="1">
      <alignment horizontal="center" vertical="center"/>
    </xf>
    <xf numFmtId="165" fontId="0" fillId="5" borderId="0" xfId="1" applyNumberFormat="1" applyFont="1" applyFill="1" applyBorder="1" applyAlignment="1">
      <alignment horizontal="center" vertical="center"/>
    </xf>
    <xf numFmtId="169" fontId="0" fillId="0" borderId="4" xfId="0" applyNumberForma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4FFD-EBFD-4FCF-8C2F-5C8CAAAF91E4}">
  <dimension ref="A1:S40"/>
  <sheetViews>
    <sheetView topLeftCell="A2" zoomScale="86" zoomScaleNormal="85" workbookViewId="0">
      <selection activeCell="A25" sqref="A25:S33"/>
    </sheetView>
  </sheetViews>
  <sheetFormatPr defaultRowHeight="14.4" x14ac:dyDescent="0.3"/>
  <cols>
    <col min="9" max="9" width="10.88671875" bestFit="1" customWidth="1"/>
    <col min="10" max="10" width="10.33203125" bestFit="1" customWidth="1"/>
  </cols>
  <sheetData>
    <row r="1" spans="1:19" x14ac:dyDescent="0.3">
      <c r="A1" s="36" t="s">
        <v>5</v>
      </c>
      <c r="B1" s="37"/>
      <c r="C1" s="37"/>
      <c r="D1" s="37"/>
      <c r="E1" s="37"/>
      <c r="F1" s="37"/>
      <c r="G1" s="37"/>
      <c r="H1" s="37"/>
      <c r="I1" s="38"/>
      <c r="K1" s="30" t="s">
        <v>6</v>
      </c>
      <c r="L1" s="31"/>
      <c r="M1" s="31"/>
      <c r="N1" s="31"/>
      <c r="O1" s="31"/>
      <c r="P1" s="31"/>
      <c r="Q1" s="31"/>
      <c r="R1" s="31"/>
      <c r="S1" s="32"/>
    </row>
    <row r="2" spans="1:19" x14ac:dyDescent="0.3">
      <c r="A2" s="39"/>
      <c r="B2" s="40"/>
      <c r="C2" s="40"/>
      <c r="D2" s="40"/>
      <c r="E2" s="40"/>
      <c r="F2" s="40"/>
      <c r="G2" s="40"/>
      <c r="H2" s="40"/>
      <c r="I2" s="41"/>
      <c r="K2" s="33"/>
      <c r="L2" s="34"/>
      <c r="M2" s="34"/>
      <c r="N2" s="34"/>
      <c r="O2" s="34"/>
      <c r="P2" s="34"/>
      <c r="Q2" s="34"/>
      <c r="R2" s="34"/>
      <c r="S2" s="35"/>
    </row>
    <row r="3" spans="1:19" x14ac:dyDescent="0.3">
      <c r="A3" s="27" t="s">
        <v>0</v>
      </c>
      <c r="B3" s="28"/>
      <c r="C3" s="28"/>
      <c r="D3" s="28"/>
      <c r="E3" s="28"/>
      <c r="F3" s="28"/>
      <c r="G3" s="28"/>
      <c r="H3" s="28"/>
      <c r="I3" s="29"/>
      <c r="K3" s="27" t="s">
        <v>0</v>
      </c>
      <c r="L3" s="28"/>
      <c r="M3" s="28"/>
      <c r="N3" s="28"/>
      <c r="O3" s="28"/>
      <c r="P3" s="28"/>
      <c r="Q3" s="28"/>
      <c r="R3" s="28"/>
      <c r="S3" s="29"/>
    </row>
    <row r="4" spans="1:19" x14ac:dyDescent="0.3">
      <c r="A4" s="2">
        <v>30</v>
      </c>
      <c r="B4">
        <v>45</v>
      </c>
      <c r="C4">
        <v>60</v>
      </c>
      <c r="D4">
        <v>90</v>
      </c>
      <c r="I4" s="3"/>
      <c r="K4" s="2">
        <v>30</v>
      </c>
      <c r="L4">
        <v>45</v>
      </c>
      <c r="M4">
        <v>60</v>
      </c>
      <c r="N4">
        <v>90</v>
      </c>
      <c r="S4" s="3"/>
    </row>
    <row r="5" spans="1:19" x14ac:dyDescent="0.3">
      <c r="A5" s="4">
        <v>5</v>
      </c>
      <c r="B5" s="5">
        <v>5</v>
      </c>
      <c r="C5" s="5">
        <v>6</v>
      </c>
      <c r="D5" s="5">
        <v>9</v>
      </c>
      <c r="G5" s="1">
        <f>B5*0.85</f>
        <v>4.25</v>
      </c>
      <c r="H5" s="1">
        <f t="shared" ref="H5:I5" si="0">C5*0.85</f>
        <v>5.0999999999999996</v>
      </c>
      <c r="I5" s="1">
        <f t="shared" si="0"/>
        <v>7.6499999999999995</v>
      </c>
      <c r="K5" s="4">
        <v>5</v>
      </c>
      <c r="L5" s="5">
        <v>6</v>
      </c>
      <c r="M5" s="5">
        <v>7</v>
      </c>
      <c r="N5" s="5">
        <v>10</v>
      </c>
      <c r="Q5" s="1">
        <f>L5*0.85</f>
        <v>5.0999999999999996</v>
      </c>
      <c r="R5" s="1">
        <f t="shared" ref="R5" si="1">M5*0.85</f>
        <v>5.95</v>
      </c>
      <c r="S5" s="8">
        <f t="shared" ref="S5" si="2">N5*0.85</f>
        <v>8.5</v>
      </c>
    </row>
    <row r="6" spans="1:19" x14ac:dyDescent="0.3">
      <c r="A6" s="27" t="s">
        <v>1</v>
      </c>
      <c r="B6" s="28"/>
      <c r="C6" s="28"/>
      <c r="D6" s="28"/>
      <c r="F6" s="28" t="s">
        <v>0</v>
      </c>
      <c r="G6" s="28"/>
      <c r="H6" s="28"/>
      <c r="I6" s="29"/>
      <c r="K6" s="27" t="s">
        <v>1</v>
      </c>
      <c r="L6" s="28"/>
      <c r="M6" s="28"/>
      <c r="N6" s="28"/>
      <c r="P6" s="28" t="s">
        <v>0</v>
      </c>
      <c r="Q6" s="28"/>
      <c r="R6" s="28"/>
      <c r="S6" s="29"/>
    </row>
    <row r="7" spans="1:19" x14ac:dyDescent="0.3">
      <c r="A7" s="2"/>
      <c r="B7" s="6">
        <v>25</v>
      </c>
      <c r="C7" s="6">
        <v>28</v>
      </c>
      <c r="D7" s="6">
        <v>42</v>
      </c>
      <c r="F7">
        <v>30</v>
      </c>
      <c r="G7">
        <v>45</v>
      </c>
      <c r="H7">
        <v>60</v>
      </c>
      <c r="I7" s="3">
        <v>90</v>
      </c>
      <c r="K7" s="2">
        <v>25</v>
      </c>
      <c r="L7" s="6">
        <v>28</v>
      </c>
      <c r="M7" s="6">
        <v>32</v>
      </c>
      <c r="N7" s="6">
        <v>45</v>
      </c>
      <c r="P7">
        <v>30</v>
      </c>
      <c r="Q7">
        <v>45</v>
      </c>
      <c r="R7">
        <v>60</v>
      </c>
      <c r="S7" s="3">
        <v>90</v>
      </c>
    </row>
    <row r="8" spans="1:19" x14ac:dyDescent="0.3">
      <c r="A8" s="27" t="s">
        <v>2</v>
      </c>
      <c r="B8" s="28"/>
      <c r="C8" s="28"/>
      <c r="D8" s="28"/>
      <c r="F8" s="28" t="s">
        <v>4</v>
      </c>
      <c r="G8" s="28"/>
      <c r="H8" s="28"/>
      <c r="I8" s="29"/>
      <c r="K8" s="27" t="s">
        <v>2</v>
      </c>
      <c r="L8" s="28"/>
      <c r="M8" s="28"/>
      <c r="N8" s="28"/>
      <c r="P8" s="28" t="s">
        <v>4</v>
      </c>
      <c r="Q8" s="28"/>
      <c r="R8" s="28"/>
      <c r="S8" s="29"/>
    </row>
    <row r="9" spans="1:19" x14ac:dyDescent="0.3">
      <c r="A9" s="2"/>
      <c r="B9" s="7">
        <f>B7/5</f>
        <v>5</v>
      </c>
      <c r="C9" s="7">
        <f>C7/5</f>
        <v>5.6</v>
      </c>
      <c r="D9" s="7">
        <f t="shared" ref="D9" si="3">D7/5</f>
        <v>8.4</v>
      </c>
      <c r="G9" s="1">
        <f>B9*0.85</f>
        <v>4.25</v>
      </c>
      <c r="H9" s="1">
        <f t="shared" ref="H9:I9" si="4">C9*0.85</f>
        <v>4.76</v>
      </c>
      <c r="I9" s="8">
        <f t="shared" si="4"/>
        <v>7.14</v>
      </c>
      <c r="K9" s="2"/>
      <c r="L9" s="7">
        <f>L7/5</f>
        <v>5.6</v>
      </c>
      <c r="M9" s="7">
        <f t="shared" ref="M9:N9" si="5">M7/5</f>
        <v>6.4</v>
      </c>
      <c r="N9" s="7">
        <f t="shared" si="5"/>
        <v>9</v>
      </c>
      <c r="Q9" s="1">
        <f>L9*0.85</f>
        <v>4.76</v>
      </c>
      <c r="R9" s="1">
        <f t="shared" ref="R9:S9" si="6">M9*0.85</f>
        <v>5.44</v>
      </c>
      <c r="S9" s="8">
        <f t="shared" si="6"/>
        <v>7.6499999999999995</v>
      </c>
    </row>
    <row r="10" spans="1:19" x14ac:dyDescent="0.3">
      <c r="A10" s="27" t="s">
        <v>3</v>
      </c>
      <c r="B10" s="28"/>
      <c r="C10" s="28"/>
      <c r="D10" s="28"/>
      <c r="I10" s="3"/>
      <c r="K10" s="27" t="s">
        <v>3</v>
      </c>
      <c r="L10" s="28"/>
      <c r="M10" s="28"/>
      <c r="N10" s="28"/>
      <c r="S10" s="3"/>
    </row>
    <row r="11" spans="1:19" x14ac:dyDescent="0.3">
      <c r="A11" s="2"/>
      <c r="B11" s="17">
        <f t="shared" ref="B11:D11" si="7">(B5-B9)/B5</f>
        <v>0</v>
      </c>
      <c r="C11" s="17">
        <f t="shared" si="7"/>
        <v>6.6666666666666721E-2</v>
      </c>
      <c r="D11" s="17">
        <f t="shared" si="7"/>
        <v>6.6666666666666624E-2</v>
      </c>
      <c r="I11" s="3"/>
      <c r="K11" s="2"/>
      <c r="L11" s="17">
        <f t="shared" ref="L11:N11" si="8">(L5-L9)/L5</f>
        <v>6.6666666666666721E-2</v>
      </c>
      <c r="M11" s="17">
        <f t="shared" si="8"/>
        <v>8.571428571428566E-2</v>
      </c>
      <c r="N11" s="17">
        <f t="shared" si="8"/>
        <v>0.1</v>
      </c>
      <c r="S11" s="3"/>
    </row>
    <row r="12" spans="1:19" x14ac:dyDescent="0.3">
      <c r="A12" s="2"/>
      <c r="I12" s="3"/>
      <c r="K12" s="2"/>
      <c r="S12" s="3"/>
    </row>
    <row r="13" spans="1:19" x14ac:dyDescent="0.3">
      <c r="A13" s="27" t="s">
        <v>7</v>
      </c>
      <c r="B13" s="28"/>
      <c r="C13" s="28"/>
      <c r="D13" s="28"/>
      <c r="E13" s="28"/>
      <c r="F13" s="28"/>
      <c r="G13" s="28"/>
      <c r="H13" s="28"/>
      <c r="I13" s="29"/>
      <c r="K13" s="27" t="s">
        <v>7</v>
      </c>
      <c r="L13" s="28"/>
      <c r="M13" s="28"/>
      <c r="N13" s="28"/>
      <c r="O13" s="28"/>
      <c r="P13" s="28"/>
      <c r="Q13" s="28"/>
      <c r="R13" s="28"/>
      <c r="S13" s="29"/>
    </row>
    <row r="14" spans="1:19" x14ac:dyDescent="0.3">
      <c r="A14" s="2">
        <v>30</v>
      </c>
      <c r="B14">
        <v>45</v>
      </c>
      <c r="C14">
        <v>60</v>
      </c>
      <c r="D14">
        <v>90</v>
      </c>
      <c r="I14" s="3"/>
      <c r="K14" s="2">
        <v>30</v>
      </c>
      <c r="L14">
        <v>45</v>
      </c>
      <c r="M14">
        <v>60</v>
      </c>
      <c r="N14">
        <v>90</v>
      </c>
      <c r="S14" s="3"/>
    </row>
    <row r="15" spans="1:19" x14ac:dyDescent="0.3">
      <c r="A15" s="16">
        <v>5</v>
      </c>
      <c r="B15" s="15">
        <v>6</v>
      </c>
      <c r="C15" s="15">
        <v>7</v>
      </c>
      <c r="D15" s="15">
        <v>11</v>
      </c>
      <c r="G15" s="1">
        <f>B15*0.85</f>
        <v>5.0999999999999996</v>
      </c>
      <c r="H15" s="1">
        <f t="shared" ref="H15:I15" si="9">C15*0.85</f>
        <v>5.95</v>
      </c>
      <c r="I15" s="1">
        <f t="shared" si="9"/>
        <v>9.35</v>
      </c>
      <c r="K15" s="4">
        <v>6</v>
      </c>
      <c r="L15" s="5">
        <v>7</v>
      </c>
      <c r="M15" s="5">
        <v>8</v>
      </c>
      <c r="N15" s="5">
        <v>12</v>
      </c>
      <c r="O15" s="14"/>
      <c r="Q15" s="1">
        <f>L15*0.85</f>
        <v>5.95</v>
      </c>
      <c r="R15" s="1">
        <f t="shared" ref="R15" si="10">M15*0.85</f>
        <v>6.8</v>
      </c>
      <c r="S15" s="8">
        <f t="shared" ref="S15" si="11">N15*0.85</f>
        <v>10.199999999999999</v>
      </c>
    </row>
    <row r="16" spans="1:19" x14ac:dyDescent="0.3">
      <c r="A16" s="27" t="s">
        <v>1</v>
      </c>
      <c r="B16" s="28"/>
      <c r="C16" s="28"/>
      <c r="D16" s="28"/>
      <c r="F16" s="28" t="s">
        <v>0</v>
      </c>
      <c r="G16" s="28"/>
      <c r="H16" s="28"/>
      <c r="I16" s="29"/>
      <c r="K16" s="27" t="s">
        <v>1</v>
      </c>
      <c r="L16" s="28"/>
      <c r="M16" s="28"/>
      <c r="N16" s="28"/>
      <c r="P16" s="28" t="s">
        <v>0</v>
      </c>
      <c r="Q16" s="28"/>
      <c r="R16" s="28"/>
      <c r="S16" s="29"/>
    </row>
    <row r="17" spans="1:19" x14ac:dyDescent="0.3">
      <c r="A17" s="2"/>
      <c r="B17" s="9">
        <v>28</v>
      </c>
      <c r="C17" s="9">
        <v>32.5</v>
      </c>
      <c r="D17" s="9">
        <f>D15*5*0.9</f>
        <v>49.5</v>
      </c>
      <c r="F17">
        <v>30</v>
      </c>
      <c r="G17">
        <v>45</v>
      </c>
      <c r="H17">
        <v>60</v>
      </c>
      <c r="I17" s="3">
        <v>90</v>
      </c>
      <c r="K17" s="2">
        <v>25</v>
      </c>
      <c r="L17" s="9">
        <v>32.5</v>
      </c>
      <c r="M17" s="6">
        <v>37</v>
      </c>
      <c r="N17" s="6">
        <f t="shared" ref="N17" si="12">N15*5*0.9</f>
        <v>54</v>
      </c>
      <c r="O17" s="14"/>
      <c r="P17">
        <v>30</v>
      </c>
      <c r="Q17">
        <v>45</v>
      </c>
      <c r="R17">
        <v>60</v>
      </c>
      <c r="S17" s="3">
        <v>90</v>
      </c>
    </row>
    <row r="18" spans="1:19" x14ac:dyDescent="0.3">
      <c r="A18" s="27" t="s">
        <v>2</v>
      </c>
      <c r="B18" s="28"/>
      <c r="C18" s="28"/>
      <c r="D18" s="28"/>
      <c r="F18" s="28" t="s">
        <v>4</v>
      </c>
      <c r="G18" s="28"/>
      <c r="H18" s="28"/>
      <c r="I18" s="29"/>
      <c r="K18" s="27" t="s">
        <v>2</v>
      </c>
      <c r="L18" s="28"/>
      <c r="M18" s="28"/>
      <c r="N18" s="28"/>
      <c r="P18" s="28" t="s">
        <v>4</v>
      </c>
      <c r="Q18" s="28"/>
      <c r="R18" s="28"/>
      <c r="S18" s="29"/>
    </row>
    <row r="19" spans="1:19" x14ac:dyDescent="0.3">
      <c r="A19" s="2"/>
      <c r="B19" s="7">
        <f>B17/5</f>
        <v>5.6</v>
      </c>
      <c r="C19" s="7">
        <f t="shared" ref="C19" si="13">C17/5</f>
        <v>6.5</v>
      </c>
      <c r="D19" s="7">
        <f>D17/5</f>
        <v>9.9</v>
      </c>
      <c r="G19" s="1">
        <f>B19*0.85</f>
        <v>4.76</v>
      </c>
      <c r="H19" s="1">
        <f t="shared" ref="H19:I19" si="14">C19*0.85</f>
        <v>5.5249999999999995</v>
      </c>
      <c r="I19" s="8">
        <f t="shared" si="14"/>
        <v>8.4150000000000009</v>
      </c>
      <c r="K19" s="2"/>
      <c r="L19" s="7">
        <f>L17/5</f>
        <v>6.5</v>
      </c>
      <c r="M19" s="7">
        <f t="shared" ref="M19:N19" si="15">M17/5</f>
        <v>7.4</v>
      </c>
      <c r="N19" s="7">
        <f t="shared" si="15"/>
        <v>10.8</v>
      </c>
      <c r="Q19" s="1">
        <f>L19*0.85</f>
        <v>5.5249999999999995</v>
      </c>
      <c r="R19" s="1">
        <f t="shared" ref="R19:S19" si="16">M19*0.85</f>
        <v>6.29</v>
      </c>
      <c r="S19" s="8">
        <f t="shared" si="16"/>
        <v>9.18</v>
      </c>
    </row>
    <row r="20" spans="1:19" x14ac:dyDescent="0.3">
      <c r="A20" s="27" t="s">
        <v>3</v>
      </c>
      <c r="B20" s="28"/>
      <c r="C20" s="28"/>
      <c r="D20" s="28"/>
      <c r="I20" s="3"/>
      <c r="K20" s="27" t="s">
        <v>3</v>
      </c>
      <c r="L20" s="28"/>
      <c r="M20" s="28"/>
      <c r="N20" s="28"/>
      <c r="S20" s="3"/>
    </row>
    <row r="21" spans="1:19" x14ac:dyDescent="0.3">
      <c r="A21" s="2"/>
      <c r="B21" s="17">
        <f t="shared" ref="B21:C21" si="17">(B15-B19)/B15</f>
        <v>6.6666666666666721E-2</v>
      </c>
      <c r="C21" s="17">
        <f t="shared" si="17"/>
        <v>7.1428571428571425E-2</v>
      </c>
      <c r="D21" s="17">
        <f>(D15-D19)/D15</f>
        <v>9.9999999999999964E-2</v>
      </c>
      <c r="G21" t="s">
        <v>8</v>
      </c>
      <c r="H21">
        <v>100</v>
      </c>
      <c r="I21" s="8">
        <f>H21*0.4*H19+H21*0.2*H15+H21*0.3*R19+H21*0.1*R15</f>
        <v>596.70000000000005</v>
      </c>
      <c r="J21" s="1">
        <f>I21*5</f>
        <v>2983.5</v>
      </c>
      <c r="K21" s="2"/>
      <c r="L21" s="17">
        <f t="shared" ref="L21:N21" si="18">(L15-L19)/L15</f>
        <v>7.1428571428571425E-2</v>
      </c>
      <c r="M21" s="17">
        <f t="shared" si="18"/>
        <v>7.4999999999999956E-2</v>
      </c>
      <c r="N21" s="17">
        <f t="shared" si="18"/>
        <v>9.9999999999999936E-2</v>
      </c>
      <c r="S21" s="3"/>
    </row>
    <row r="22" spans="1:19" x14ac:dyDescent="0.3">
      <c r="A22" s="2"/>
      <c r="I22" s="8">
        <f>H21*0.4*H9+H21*0.2*H5+H21*0.3*R9+H21*0.1*R5</f>
        <v>515.1</v>
      </c>
      <c r="K22" s="2"/>
      <c r="S22" s="3"/>
    </row>
    <row r="23" spans="1:19" x14ac:dyDescent="0.3">
      <c r="A23" s="2"/>
      <c r="G23" s="1">
        <f>I21/H21</f>
        <v>5.9670000000000005</v>
      </c>
      <c r="H23" s="17">
        <f>I23/I22</f>
        <v>0.15841584158415845</v>
      </c>
      <c r="I23" s="8">
        <f>I21-I22</f>
        <v>81.600000000000023</v>
      </c>
      <c r="K23" s="2"/>
      <c r="S23" s="3"/>
    </row>
    <row r="24" spans="1:19" x14ac:dyDescent="0.3">
      <c r="A24" s="2">
        <f>80*5*4.9</f>
        <v>1960.0000000000002</v>
      </c>
      <c r="B24">
        <f>80*5.5*4.9</f>
        <v>2156</v>
      </c>
      <c r="I24" s="3"/>
      <c r="K24" s="2"/>
      <c r="S24" s="3"/>
    </row>
    <row r="25" spans="1:19" x14ac:dyDescent="0.3">
      <c r="A25" s="27" t="s">
        <v>17</v>
      </c>
      <c r="B25" s="28"/>
      <c r="C25" s="28"/>
      <c r="D25" s="28"/>
      <c r="E25" s="28"/>
      <c r="F25" s="28"/>
      <c r="G25" s="28"/>
      <c r="H25" s="28"/>
      <c r="I25" s="29"/>
      <c r="K25" s="27" t="s">
        <v>17</v>
      </c>
      <c r="L25" s="28"/>
      <c r="M25" s="28"/>
      <c r="N25" s="28"/>
      <c r="O25" s="28"/>
      <c r="P25" s="28"/>
      <c r="Q25" s="28"/>
      <c r="R25" s="28"/>
      <c r="S25" s="29"/>
    </row>
    <row r="26" spans="1:19" x14ac:dyDescent="0.3">
      <c r="A26" s="2">
        <v>30</v>
      </c>
      <c r="B26">
        <v>45</v>
      </c>
      <c r="C26">
        <v>60</v>
      </c>
      <c r="D26">
        <v>90</v>
      </c>
      <c r="I26" s="3"/>
      <c r="K26" s="2">
        <v>30</v>
      </c>
      <c r="L26">
        <v>45</v>
      </c>
      <c r="M26">
        <v>60</v>
      </c>
      <c r="N26">
        <v>90</v>
      </c>
      <c r="S26" s="3"/>
    </row>
    <row r="27" spans="1:19" x14ac:dyDescent="0.3">
      <c r="A27" s="16">
        <v>6</v>
      </c>
      <c r="B27" s="15">
        <v>7</v>
      </c>
      <c r="C27" s="15">
        <v>8.5</v>
      </c>
      <c r="D27" s="15">
        <v>12.5</v>
      </c>
      <c r="G27" s="1">
        <f>B27*0.85</f>
        <v>5.95</v>
      </c>
      <c r="H27" s="1">
        <f t="shared" ref="H27" si="19">C27*0.85</f>
        <v>7.2249999999999996</v>
      </c>
      <c r="I27" s="1">
        <f t="shared" ref="I27" si="20">D27*0.85</f>
        <v>10.625</v>
      </c>
      <c r="K27" s="16">
        <v>7</v>
      </c>
      <c r="L27" s="15">
        <v>9</v>
      </c>
      <c r="M27" s="15">
        <v>10</v>
      </c>
      <c r="N27" s="15">
        <v>14</v>
      </c>
      <c r="Q27" s="1">
        <f>L27*0.85</f>
        <v>7.6499999999999995</v>
      </c>
      <c r="R27" s="1">
        <f t="shared" ref="R27" si="21">M27*0.85</f>
        <v>8.5</v>
      </c>
      <c r="S27" s="8">
        <f t="shared" ref="S27" si="22">N27*0.85</f>
        <v>11.9</v>
      </c>
    </row>
    <row r="28" spans="1:19" x14ac:dyDescent="0.3">
      <c r="A28" s="27" t="s">
        <v>1</v>
      </c>
      <c r="B28" s="28"/>
      <c r="C28" s="28"/>
      <c r="D28" s="28"/>
      <c r="F28" s="28" t="s">
        <v>0</v>
      </c>
      <c r="G28" s="28"/>
      <c r="H28" s="28"/>
      <c r="I28" s="29"/>
      <c r="K28" s="27" t="s">
        <v>1</v>
      </c>
      <c r="L28" s="28"/>
      <c r="M28" s="28"/>
      <c r="N28" s="28"/>
      <c r="P28" s="28" t="s">
        <v>0</v>
      </c>
      <c r="Q28" s="28"/>
      <c r="R28" s="28"/>
      <c r="S28" s="29"/>
    </row>
    <row r="29" spans="1:19" x14ac:dyDescent="0.3">
      <c r="A29" s="2"/>
      <c r="B29" s="9">
        <f t="shared" ref="B29:C29" si="23">B27*5*(1-B33)</f>
        <v>32.549999999999997</v>
      </c>
      <c r="C29" s="9">
        <f t="shared" si="23"/>
        <v>39.1</v>
      </c>
      <c r="D29" s="9">
        <f>D27*5*(1-D33)</f>
        <v>56.25</v>
      </c>
      <c r="F29">
        <v>30</v>
      </c>
      <c r="G29">
        <v>45</v>
      </c>
      <c r="H29">
        <v>60</v>
      </c>
      <c r="I29" s="3">
        <v>90</v>
      </c>
      <c r="K29" s="2">
        <v>25</v>
      </c>
      <c r="L29" s="9">
        <f t="shared" ref="L29:M29" si="24">L27*5*(1-L33)</f>
        <v>41.849999999999994</v>
      </c>
      <c r="M29" s="9">
        <f t="shared" si="24"/>
        <v>46</v>
      </c>
      <c r="N29" s="9">
        <f>N27*5*(1-N33)</f>
        <v>63</v>
      </c>
      <c r="P29">
        <v>30</v>
      </c>
      <c r="Q29">
        <v>45</v>
      </c>
      <c r="R29">
        <v>60</v>
      </c>
      <c r="S29" s="3">
        <v>90</v>
      </c>
    </row>
    <row r="30" spans="1:19" x14ac:dyDescent="0.3">
      <c r="A30" s="27" t="s">
        <v>2</v>
      </c>
      <c r="B30" s="28"/>
      <c r="C30" s="28"/>
      <c r="D30" s="28"/>
      <c r="F30" s="28" t="s">
        <v>4</v>
      </c>
      <c r="G30" s="28"/>
      <c r="H30" s="28"/>
      <c r="I30" s="29"/>
      <c r="K30" s="27" t="s">
        <v>2</v>
      </c>
      <c r="L30" s="28"/>
      <c r="M30" s="28"/>
      <c r="N30" s="28"/>
      <c r="P30" s="28" t="s">
        <v>4</v>
      </c>
      <c r="Q30" s="28"/>
      <c r="R30" s="28"/>
      <c r="S30" s="29"/>
    </row>
    <row r="31" spans="1:19" x14ac:dyDescent="0.3">
      <c r="A31" s="2"/>
      <c r="B31" s="7">
        <f>B29/5</f>
        <v>6.51</v>
      </c>
      <c r="C31" s="7">
        <f>C29/5</f>
        <v>7.82</v>
      </c>
      <c r="D31" s="7">
        <f t="shared" ref="D31" si="25">D29/5</f>
        <v>11.25</v>
      </c>
      <c r="G31" s="1">
        <f>B31*0.85</f>
        <v>5.5335000000000001</v>
      </c>
      <c r="H31" s="1">
        <f t="shared" ref="H31" si="26">C31*0.85</f>
        <v>6.6470000000000002</v>
      </c>
      <c r="I31" s="8">
        <f t="shared" ref="I31" si="27">D31*0.85</f>
        <v>9.5625</v>
      </c>
      <c r="K31" s="2"/>
      <c r="L31" s="7">
        <f>L29/5</f>
        <v>8.3699999999999992</v>
      </c>
      <c r="M31" s="7">
        <f>M29/5</f>
        <v>9.1999999999999993</v>
      </c>
      <c r="N31" s="7">
        <f t="shared" ref="N31" si="28">N29/5</f>
        <v>12.6</v>
      </c>
      <c r="Q31" s="1">
        <f>L31*0.85</f>
        <v>7.1144999999999987</v>
      </c>
      <c r="R31" s="1">
        <f t="shared" ref="R31" si="29">M31*0.85</f>
        <v>7.8199999999999994</v>
      </c>
      <c r="S31" s="8">
        <f t="shared" ref="S31" si="30">N31*0.85</f>
        <v>10.709999999999999</v>
      </c>
    </row>
    <row r="32" spans="1:19" x14ac:dyDescent="0.3">
      <c r="A32" s="27" t="s">
        <v>3</v>
      </c>
      <c r="B32" s="28"/>
      <c r="C32" s="28"/>
      <c r="D32" s="28"/>
      <c r="I32" s="3"/>
      <c r="K32" s="27" t="s">
        <v>3</v>
      </c>
      <c r="L32" s="28"/>
      <c r="M32" s="28"/>
      <c r="N32" s="28"/>
      <c r="S32" s="3"/>
    </row>
    <row r="33" spans="1:19" ht="15" thickBot="1" x14ac:dyDescent="0.35">
      <c r="A33" s="10"/>
      <c r="B33" s="11">
        <v>7.0000000000000007E-2</v>
      </c>
      <c r="C33" s="11">
        <v>0.08</v>
      </c>
      <c r="D33" s="11">
        <v>0.1</v>
      </c>
      <c r="E33" s="12"/>
      <c r="F33" s="12"/>
      <c r="G33" t="s">
        <v>8</v>
      </c>
      <c r="H33">
        <v>100</v>
      </c>
      <c r="I33" s="8">
        <f>H33*0.4*H31+H33*0.2*H27+H33*0.3*R31+H33*0.1*R27</f>
        <v>729.98</v>
      </c>
      <c r="J33" s="1">
        <f>I33*5</f>
        <v>3649.9</v>
      </c>
      <c r="K33" s="10"/>
      <c r="L33" s="11">
        <v>7.0000000000000007E-2</v>
      </c>
      <c r="M33" s="11">
        <v>0.08</v>
      </c>
      <c r="N33" s="11">
        <v>0.1</v>
      </c>
      <c r="O33" s="12"/>
      <c r="P33" s="12"/>
      <c r="Q33" s="12"/>
      <c r="R33" s="12"/>
      <c r="S33" s="13"/>
    </row>
    <row r="34" spans="1:19" x14ac:dyDescent="0.3">
      <c r="B34" s="18">
        <f t="shared" ref="B34" si="31">(B29-B17)/B17</f>
        <v>0.16249999999999989</v>
      </c>
      <c r="C34" s="18">
        <f>(C29-C17)/C17</f>
        <v>0.20307692307692313</v>
      </c>
      <c r="D34" s="18">
        <f>(D29-D17)/D17</f>
        <v>0.13636363636363635</v>
      </c>
      <c r="I34" s="8"/>
      <c r="L34" s="18">
        <f t="shared" ref="L34" si="32">(L29-L17)/L17</f>
        <v>0.28769230769230753</v>
      </c>
      <c r="M34" s="18">
        <f>(M29-M17)/M17</f>
        <v>0.24324324324324326</v>
      </c>
      <c r="N34" s="18">
        <f>(N29-N17)/N17</f>
        <v>0.16666666666666666</v>
      </c>
    </row>
    <row r="35" spans="1:19" x14ac:dyDescent="0.3">
      <c r="G35" s="1">
        <f>I33/H33</f>
        <v>7.2998000000000003</v>
      </c>
      <c r="H35" s="17"/>
      <c r="I35" s="8"/>
    </row>
    <row r="36" spans="1:19" x14ac:dyDescent="0.3">
      <c r="B36">
        <f>80*5.9*4.9</f>
        <v>2312.8000000000002</v>
      </c>
      <c r="L36" s="21">
        <f>L29*2</f>
        <v>83.699999999999989</v>
      </c>
      <c r="M36" s="21">
        <f t="shared" ref="M36:N36" si="33">M29*2</f>
        <v>92</v>
      </c>
      <c r="N36" s="21">
        <f t="shared" si="33"/>
        <v>126</v>
      </c>
    </row>
    <row r="37" spans="1:19" x14ac:dyDescent="0.3">
      <c r="L37" s="21"/>
      <c r="M37" s="21"/>
      <c r="N37" s="21"/>
    </row>
    <row r="39" spans="1:19" x14ac:dyDescent="0.3">
      <c r="B39">
        <v>32.5</v>
      </c>
      <c r="C39">
        <v>39</v>
      </c>
      <c r="D39">
        <v>56.5</v>
      </c>
    </row>
    <row r="40" spans="1:19" x14ac:dyDescent="0.3">
      <c r="B40">
        <f>B39/5</f>
        <v>6.5</v>
      </c>
      <c r="C40">
        <f t="shared" ref="C40:D40" si="34">C39/5</f>
        <v>7.8</v>
      </c>
      <c r="D40">
        <f t="shared" si="34"/>
        <v>11.3</v>
      </c>
    </row>
  </sheetData>
  <mergeCells count="38">
    <mergeCell ref="A1:I2"/>
    <mergeCell ref="K10:N10"/>
    <mergeCell ref="A6:D6"/>
    <mergeCell ref="A8:D8"/>
    <mergeCell ref="A10:D10"/>
    <mergeCell ref="F6:I6"/>
    <mergeCell ref="F8:I8"/>
    <mergeCell ref="A25:I25"/>
    <mergeCell ref="K25:S25"/>
    <mergeCell ref="K1:S2"/>
    <mergeCell ref="A16:D16"/>
    <mergeCell ref="A18:D18"/>
    <mergeCell ref="A20:D20"/>
    <mergeCell ref="F16:I16"/>
    <mergeCell ref="F18:I18"/>
    <mergeCell ref="A13:I13"/>
    <mergeCell ref="A3:I3"/>
    <mergeCell ref="K3:S3"/>
    <mergeCell ref="K16:N16"/>
    <mergeCell ref="K6:N6"/>
    <mergeCell ref="P6:S6"/>
    <mergeCell ref="K8:N8"/>
    <mergeCell ref="P8:S8"/>
    <mergeCell ref="P16:S16"/>
    <mergeCell ref="K18:N18"/>
    <mergeCell ref="P18:S18"/>
    <mergeCell ref="K20:N20"/>
    <mergeCell ref="K13:S13"/>
    <mergeCell ref="P28:S28"/>
    <mergeCell ref="A30:D30"/>
    <mergeCell ref="F30:I30"/>
    <mergeCell ref="K30:N30"/>
    <mergeCell ref="P30:S30"/>
    <mergeCell ref="A32:D32"/>
    <mergeCell ref="K32:N32"/>
    <mergeCell ref="A28:D28"/>
    <mergeCell ref="F28:I28"/>
    <mergeCell ref="K28:N28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3143-C987-4840-B514-9F5AC5A25D70}">
  <dimension ref="A1:S48"/>
  <sheetViews>
    <sheetView zoomScale="99" zoomScaleNormal="99" workbookViewId="0">
      <pane ySplit="23" topLeftCell="A122" activePane="bottomLeft" state="frozen"/>
      <selection pane="bottomLeft" activeCell="D148" sqref="D148"/>
    </sheetView>
  </sheetViews>
  <sheetFormatPr defaultRowHeight="14.4" x14ac:dyDescent="0.3"/>
  <cols>
    <col min="9" max="9" width="10.88671875" bestFit="1" customWidth="1"/>
    <col min="10" max="10" width="10.33203125" bestFit="1" customWidth="1"/>
  </cols>
  <sheetData>
    <row r="1" spans="1:19" x14ac:dyDescent="0.3">
      <c r="A1" s="36" t="s">
        <v>5</v>
      </c>
      <c r="B1" s="37"/>
      <c r="C1" s="37"/>
      <c r="D1" s="37"/>
      <c r="E1" s="37"/>
      <c r="F1" s="37"/>
      <c r="G1" s="37"/>
      <c r="H1" s="37"/>
      <c r="I1" s="38"/>
      <c r="K1" s="30" t="s">
        <v>6</v>
      </c>
      <c r="L1" s="31"/>
      <c r="M1" s="31"/>
      <c r="N1" s="31"/>
      <c r="O1" s="31"/>
      <c r="P1" s="31"/>
      <c r="Q1" s="31"/>
      <c r="R1" s="31"/>
      <c r="S1" s="32"/>
    </row>
    <row r="2" spans="1:19" x14ac:dyDescent="0.3">
      <c r="A2" s="39"/>
      <c r="B2" s="40"/>
      <c r="C2" s="40"/>
      <c r="D2" s="40"/>
      <c r="E2" s="40"/>
      <c r="F2" s="40"/>
      <c r="G2" s="40"/>
      <c r="H2" s="40"/>
      <c r="I2" s="41"/>
      <c r="K2" s="33"/>
      <c r="L2" s="34"/>
      <c r="M2" s="34"/>
      <c r="N2" s="34"/>
      <c r="O2" s="34"/>
      <c r="P2" s="34"/>
      <c r="Q2" s="34"/>
      <c r="R2" s="34"/>
      <c r="S2" s="35"/>
    </row>
    <row r="3" spans="1:19" hidden="1" x14ac:dyDescent="0.3">
      <c r="A3" s="27" t="s">
        <v>0</v>
      </c>
      <c r="B3" s="28"/>
      <c r="C3" s="28"/>
      <c r="D3" s="28"/>
      <c r="E3" s="28"/>
      <c r="F3" s="28"/>
      <c r="G3" s="28"/>
      <c r="H3" s="28"/>
      <c r="I3" s="29"/>
      <c r="K3" s="27" t="s">
        <v>0</v>
      </c>
      <c r="L3" s="28"/>
      <c r="M3" s="28"/>
      <c r="N3" s="28"/>
      <c r="O3" s="28"/>
      <c r="P3" s="28"/>
      <c r="Q3" s="28"/>
      <c r="R3" s="28"/>
      <c r="S3" s="29"/>
    </row>
    <row r="4" spans="1:19" hidden="1" x14ac:dyDescent="0.3">
      <c r="A4" s="2">
        <v>30</v>
      </c>
      <c r="B4">
        <v>45</v>
      </c>
      <c r="C4">
        <v>60</v>
      </c>
      <c r="D4">
        <v>90</v>
      </c>
      <c r="I4" s="3"/>
      <c r="K4" s="2">
        <v>30</v>
      </c>
      <c r="L4">
        <v>45</v>
      </c>
      <c r="M4">
        <v>60</v>
      </c>
      <c r="N4">
        <v>90</v>
      </c>
      <c r="S4" s="3"/>
    </row>
    <row r="5" spans="1:19" hidden="1" x14ac:dyDescent="0.3">
      <c r="A5" s="4">
        <v>5</v>
      </c>
      <c r="B5" s="5">
        <v>5</v>
      </c>
      <c r="C5" s="5">
        <v>6</v>
      </c>
      <c r="D5" s="5">
        <v>9</v>
      </c>
      <c r="G5" s="1">
        <f>B5*0.85</f>
        <v>4.25</v>
      </c>
      <c r="H5" s="1">
        <f t="shared" ref="H5:I5" si="0">C5*0.85</f>
        <v>5.0999999999999996</v>
      </c>
      <c r="I5" s="1">
        <f t="shared" si="0"/>
        <v>7.6499999999999995</v>
      </c>
      <c r="K5" s="4">
        <v>5</v>
      </c>
      <c r="L5" s="5">
        <v>6</v>
      </c>
      <c r="M5" s="5">
        <v>7</v>
      </c>
      <c r="N5" s="5">
        <v>10</v>
      </c>
      <c r="Q5" s="1">
        <f>L5*0.85</f>
        <v>5.0999999999999996</v>
      </c>
      <c r="R5" s="1">
        <f t="shared" ref="R5:S5" si="1">M5*0.85</f>
        <v>5.95</v>
      </c>
      <c r="S5" s="8">
        <f t="shared" si="1"/>
        <v>8.5</v>
      </c>
    </row>
    <row r="6" spans="1:19" hidden="1" x14ac:dyDescent="0.3">
      <c r="A6" s="27" t="s">
        <v>1</v>
      </c>
      <c r="B6" s="28"/>
      <c r="C6" s="28"/>
      <c r="D6" s="28"/>
      <c r="F6" s="28" t="s">
        <v>0</v>
      </c>
      <c r="G6" s="28"/>
      <c r="H6" s="28"/>
      <c r="I6" s="29"/>
      <c r="K6" s="27" t="s">
        <v>1</v>
      </c>
      <c r="L6" s="28"/>
      <c r="M6" s="28"/>
      <c r="N6" s="28"/>
      <c r="P6" s="28" t="s">
        <v>0</v>
      </c>
      <c r="Q6" s="28"/>
      <c r="R6" s="28"/>
      <c r="S6" s="29"/>
    </row>
    <row r="7" spans="1:19" hidden="1" x14ac:dyDescent="0.3">
      <c r="A7" s="2"/>
      <c r="B7" s="6">
        <v>25</v>
      </c>
      <c r="C7" s="6">
        <v>28</v>
      </c>
      <c r="D7" s="6">
        <v>42</v>
      </c>
      <c r="F7">
        <v>30</v>
      </c>
      <c r="G7">
        <v>45</v>
      </c>
      <c r="H7">
        <v>60</v>
      </c>
      <c r="I7" s="3">
        <v>90</v>
      </c>
      <c r="K7" s="2">
        <v>25</v>
      </c>
      <c r="L7" s="6">
        <v>28</v>
      </c>
      <c r="M7" s="6">
        <v>32</v>
      </c>
      <c r="N7" s="6">
        <v>45</v>
      </c>
      <c r="P7">
        <v>30</v>
      </c>
      <c r="Q7">
        <v>45</v>
      </c>
      <c r="R7">
        <v>60</v>
      </c>
      <c r="S7" s="3">
        <v>90</v>
      </c>
    </row>
    <row r="8" spans="1:19" hidden="1" x14ac:dyDescent="0.3">
      <c r="A8" s="27" t="s">
        <v>2</v>
      </c>
      <c r="B8" s="28"/>
      <c r="C8" s="28"/>
      <c r="D8" s="28"/>
      <c r="F8" s="28" t="s">
        <v>4</v>
      </c>
      <c r="G8" s="28"/>
      <c r="H8" s="28"/>
      <c r="I8" s="29"/>
      <c r="K8" s="27" t="s">
        <v>2</v>
      </c>
      <c r="L8" s="28"/>
      <c r="M8" s="28"/>
      <c r="N8" s="28"/>
      <c r="P8" s="28" t="s">
        <v>4</v>
      </c>
      <c r="Q8" s="28"/>
      <c r="R8" s="28"/>
      <c r="S8" s="29"/>
    </row>
    <row r="9" spans="1:19" hidden="1" x14ac:dyDescent="0.3">
      <c r="A9" s="2"/>
      <c r="B9" s="7">
        <f>B7/5</f>
        <v>5</v>
      </c>
      <c r="C9" s="7">
        <f>C7/5</f>
        <v>5.6</v>
      </c>
      <c r="D9" s="7">
        <f t="shared" ref="D9" si="2">D7/5</f>
        <v>8.4</v>
      </c>
      <c r="G9" s="1">
        <f>B9*0.85</f>
        <v>4.25</v>
      </c>
      <c r="H9" s="1">
        <f t="shared" ref="H9:I9" si="3">C9*0.85</f>
        <v>4.76</v>
      </c>
      <c r="I9" s="8">
        <f t="shared" si="3"/>
        <v>7.14</v>
      </c>
      <c r="K9" s="2"/>
      <c r="L9" s="7">
        <f>L7/5</f>
        <v>5.6</v>
      </c>
      <c r="M9" s="7">
        <f t="shared" ref="M9:N9" si="4">M7/5</f>
        <v>6.4</v>
      </c>
      <c r="N9" s="7">
        <f t="shared" si="4"/>
        <v>9</v>
      </c>
      <c r="Q9" s="1">
        <f>L9*0.85</f>
        <v>4.76</v>
      </c>
      <c r="R9" s="1">
        <f t="shared" ref="R9:S9" si="5">M9*0.85</f>
        <v>5.44</v>
      </c>
      <c r="S9" s="8">
        <f t="shared" si="5"/>
        <v>7.6499999999999995</v>
      </c>
    </row>
    <row r="10" spans="1:19" hidden="1" x14ac:dyDescent="0.3">
      <c r="A10" s="27" t="s">
        <v>3</v>
      </c>
      <c r="B10" s="28"/>
      <c r="C10" s="28"/>
      <c r="D10" s="28"/>
      <c r="I10" s="3"/>
      <c r="K10" s="27" t="s">
        <v>3</v>
      </c>
      <c r="L10" s="28"/>
      <c r="M10" s="28"/>
      <c r="N10" s="28"/>
      <c r="S10" s="3"/>
    </row>
    <row r="11" spans="1:19" hidden="1" x14ac:dyDescent="0.3">
      <c r="A11" s="2"/>
      <c r="B11" s="17">
        <f t="shared" ref="B11:D11" si="6">(B5-B9)/B5</f>
        <v>0</v>
      </c>
      <c r="C11" s="17">
        <f t="shared" si="6"/>
        <v>6.6666666666666721E-2</v>
      </c>
      <c r="D11" s="17">
        <f t="shared" si="6"/>
        <v>6.6666666666666624E-2</v>
      </c>
      <c r="I11" s="3"/>
      <c r="K11" s="2"/>
      <c r="L11" s="17">
        <f t="shared" ref="L11:N11" si="7">(L5-L9)/L5</f>
        <v>6.6666666666666721E-2</v>
      </c>
      <c r="M11" s="17">
        <f t="shared" si="7"/>
        <v>8.571428571428566E-2</v>
      </c>
      <c r="N11" s="17">
        <f t="shared" si="7"/>
        <v>0.1</v>
      </c>
      <c r="S11" s="3"/>
    </row>
    <row r="12" spans="1:19" hidden="1" x14ac:dyDescent="0.3">
      <c r="A12" s="2"/>
      <c r="I12" s="3"/>
      <c r="K12" s="2"/>
      <c r="S12" s="3"/>
    </row>
    <row r="13" spans="1:19" hidden="1" x14ac:dyDescent="0.3">
      <c r="A13" s="27" t="s">
        <v>7</v>
      </c>
      <c r="B13" s="28"/>
      <c r="C13" s="28"/>
      <c r="D13" s="28"/>
      <c r="E13" s="28"/>
      <c r="F13" s="28"/>
      <c r="G13" s="28"/>
      <c r="H13" s="28"/>
      <c r="I13" s="29"/>
      <c r="K13" s="27" t="s">
        <v>7</v>
      </c>
      <c r="L13" s="28"/>
      <c r="M13" s="28"/>
      <c r="N13" s="28"/>
      <c r="O13" s="28"/>
      <c r="P13" s="28"/>
      <c r="Q13" s="28"/>
      <c r="R13" s="28"/>
      <c r="S13" s="29"/>
    </row>
    <row r="14" spans="1:19" hidden="1" x14ac:dyDescent="0.3">
      <c r="A14" s="2">
        <v>30</v>
      </c>
      <c r="B14">
        <v>45</v>
      </c>
      <c r="C14">
        <v>60</v>
      </c>
      <c r="D14">
        <v>90</v>
      </c>
      <c r="I14" s="3"/>
      <c r="K14" s="2">
        <v>30</v>
      </c>
      <c r="L14">
        <v>45</v>
      </c>
      <c r="M14">
        <v>60</v>
      </c>
      <c r="N14">
        <v>90</v>
      </c>
      <c r="S14" s="3"/>
    </row>
    <row r="15" spans="1:19" hidden="1" x14ac:dyDescent="0.3">
      <c r="A15" s="16">
        <v>5</v>
      </c>
      <c r="B15" s="15">
        <v>6</v>
      </c>
      <c r="C15" s="15">
        <v>7</v>
      </c>
      <c r="D15" s="15">
        <v>11</v>
      </c>
      <c r="G15" s="1">
        <f>B15*0.85</f>
        <v>5.0999999999999996</v>
      </c>
      <c r="H15" s="1">
        <f t="shared" ref="H15:I15" si="8">C15*0.85</f>
        <v>5.95</v>
      </c>
      <c r="I15" s="1">
        <f t="shared" si="8"/>
        <v>9.35</v>
      </c>
      <c r="K15" s="4">
        <v>6</v>
      </c>
      <c r="L15" s="5">
        <v>7</v>
      </c>
      <c r="M15" s="5">
        <v>8</v>
      </c>
      <c r="N15" s="5">
        <v>12</v>
      </c>
      <c r="O15" s="14"/>
      <c r="Q15" s="1">
        <f>L15*0.85</f>
        <v>5.95</v>
      </c>
      <c r="R15" s="1">
        <f t="shared" ref="R15:S15" si="9">M15*0.85</f>
        <v>6.8</v>
      </c>
      <c r="S15" s="8">
        <f t="shared" si="9"/>
        <v>10.199999999999999</v>
      </c>
    </row>
    <row r="16" spans="1:19" hidden="1" x14ac:dyDescent="0.3">
      <c r="A16" s="27" t="s">
        <v>1</v>
      </c>
      <c r="B16" s="28"/>
      <c r="C16" s="28"/>
      <c r="D16" s="28"/>
      <c r="F16" s="28" t="s">
        <v>0</v>
      </c>
      <c r="G16" s="28"/>
      <c r="H16" s="28"/>
      <c r="I16" s="29"/>
      <c r="K16" s="27" t="s">
        <v>1</v>
      </c>
      <c r="L16" s="28"/>
      <c r="M16" s="28"/>
      <c r="N16" s="28"/>
      <c r="P16" s="28" t="s">
        <v>0</v>
      </c>
      <c r="Q16" s="28"/>
      <c r="R16" s="28"/>
      <c r="S16" s="29"/>
    </row>
    <row r="17" spans="1:19" hidden="1" x14ac:dyDescent="0.3">
      <c r="A17" s="2"/>
      <c r="B17" s="9">
        <v>28</v>
      </c>
      <c r="C17" s="9">
        <v>32.5</v>
      </c>
      <c r="D17" s="9">
        <f>D15*5*0.9</f>
        <v>49.5</v>
      </c>
      <c r="F17">
        <v>30</v>
      </c>
      <c r="G17">
        <v>45</v>
      </c>
      <c r="H17">
        <v>60</v>
      </c>
      <c r="I17" s="3">
        <v>90</v>
      </c>
      <c r="K17" s="2">
        <v>25</v>
      </c>
      <c r="L17" s="9">
        <v>32.5</v>
      </c>
      <c r="M17" s="6">
        <v>37</v>
      </c>
      <c r="N17" s="6">
        <f t="shared" ref="N17" si="10">N15*5*0.9</f>
        <v>54</v>
      </c>
      <c r="O17" s="14"/>
      <c r="P17">
        <v>30</v>
      </c>
      <c r="Q17">
        <v>45</v>
      </c>
      <c r="R17">
        <v>60</v>
      </c>
      <c r="S17" s="3">
        <v>90</v>
      </c>
    </row>
    <row r="18" spans="1:19" hidden="1" x14ac:dyDescent="0.3">
      <c r="A18" s="27" t="s">
        <v>2</v>
      </c>
      <c r="B18" s="28"/>
      <c r="C18" s="28"/>
      <c r="D18" s="28"/>
      <c r="F18" s="28" t="s">
        <v>4</v>
      </c>
      <c r="G18" s="28"/>
      <c r="H18" s="28"/>
      <c r="I18" s="29"/>
      <c r="K18" s="27" t="s">
        <v>2</v>
      </c>
      <c r="L18" s="28"/>
      <c r="M18" s="28"/>
      <c r="N18" s="28"/>
      <c r="P18" s="28" t="s">
        <v>4</v>
      </c>
      <c r="Q18" s="28"/>
      <c r="R18" s="28"/>
      <c r="S18" s="29"/>
    </row>
    <row r="19" spans="1:19" hidden="1" x14ac:dyDescent="0.3">
      <c r="A19" s="2"/>
      <c r="B19" s="7">
        <f>B17/5</f>
        <v>5.6</v>
      </c>
      <c r="C19" s="7">
        <f t="shared" ref="C19" si="11">C17/5</f>
        <v>6.5</v>
      </c>
      <c r="D19" s="7">
        <f>D17/5</f>
        <v>9.9</v>
      </c>
      <c r="G19" s="1">
        <f>B19*0.85</f>
        <v>4.76</v>
      </c>
      <c r="H19" s="1">
        <f t="shared" ref="H19:I19" si="12">C19*0.85</f>
        <v>5.5249999999999995</v>
      </c>
      <c r="I19" s="8">
        <f t="shared" si="12"/>
        <v>8.4150000000000009</v>
      </c>
      <c r="K19" s="2"/>
      <c r="L19" s="7">
        <f>L17/5</f>
        <v>6.5</v>
      </c>
      <c r="M19" s="7">
        <f t="shared" ref="M19:N19" si="13">M17/5</f>
        <v>7.4</v>
      </c>
      <c r="N19" s="7">
        <f t="shared" si="13"/>
        <v>10.8</v>
      </c>
      <c r="Q19" s="1">
        <f>L19*0.85</f>
        <v>5.5249999999999995</v>
      </c>
      <c r="R19" s="1">
        <f t="shared" ref="R19:S19" si="14">M19*0.85</f>
        <v>6.29</v>
      </c>
      <c r="S19" s="8">
        <f t="shared" si="14"/>
        <v>9.18</v>
      </c>
    </row>
    <row r="20" spans="1:19" hidden="1" x14ac:dyDescent="0.3">
      <c r="A20" s="27" t="s">
        <v>3</v>
      </c>
      <c r="B20" s="28"/>
      <c r="C20" s="28"/>
      <c r="D20" s="28"/>
      <c r="I20" s="3"/>
      <c r="K20" s="27" t="s">
        <v>3</v>
      </c>
      <c r="L20" s="28"/>
      <c r="M20" s="28"/>
      <c r="N20" s="28"/>
      <c r="S20" s="3"/>
    </row>
    <row r="21" spans="1:19" hidden="1" x14ac:dyDescent="0.3">
      <c r="A21" s="2"/>
      <c r="B21" s="17">
        <f t="shared" ref="B21:C21" si="15">(B15-B19)/B15</f>
        <v>6.6666666666666721E-2</v>
      </c>
      <c r="C21" s="17">
        <f t="shared" si="15"/>
        <v>7.1428571428571425E-2</v>
      </c>
      <c r="D21" s="17">
        <f>(D15-D19)/D15</f>
        <v>9.9999999999999964E-2</v>
      </c>
      <c r="G21" t="s">
        <v>8</v>
      </c>
      <c r="H21">
        <v>100</v>
      </c>
      <c r="I21" s="8">
        <f>H21*0.4*H19+H21*0.2*H15+H21*0.3*R19+H21*0.1*R15</f>
        <v>596.70000000000005</v>
      </c>
      <c r="J21" s="1">
        <f>I21*5</f>
        <v>2983.5</v>
      </c>
      <c r="K21" s="2"/>
      <c r="L21" s="17">
        <f t="shared" ref="L21:N21" si="16">(L15-L19)/L15</f>
        <v>7.1428571428571425E-2</v>
      </c>
      <c r="M21" s="17">
        <f t="shared" si="16"/>
        <v>7.4999999999999956E-2</v>
      </c>
      <c r="N21" s="17">
        <f t="shared" si="16"/>
        <v>9.9999999999999936E-2</v>
      </c>
      <c r="S21" s="3"/>
    </row>
    <row r="22" spans="1:19" hidden="1" x14ac:dyDescent="0.3">
      <c r="A22" s="2"/>
      <c r="I22" s="8">
        <f>H21*0.4*H9+H21*0.2*H5+H21*0.3*R9+H21*0.1*R5</f>
        <v>515.1</v>
      </c>
      <c r="K22" s="2"/>
      <c r="S22" s="3"/>
    </row>
    <row r="23" spans="1:19" hidden="1" x14ac:dyDescent="0.3">
      <c r="A23" s="2"/>
      <c r="G23" s="1">
        <f>I21/H21</f>
        <v>5.9670000000000005</v>
      </c>
      <c r="H23" s="17">
        <f>I23/I22</f>
        <v>0.15841584158415845</v>
      </c>
      <c r="I23" s="8">
        <f>I21-I22</f>
        <v>81.600000000000023</v>
      </c>
      <c r="K23" s="2"/>
      <c r="S23" s="3"/>
    </row>
    <row r="24" spans="1:19" x14ac:dyDescent="0.3">
      <c r="A24" s="2">
        <f>80*5*4.9</f>
        <v>1960.0000000000002</v>
      </c>
      <c r="B24">
        <f>80*5.5*4.9</f>
        <v>2156</v>
      </c>
      <c r="I24" s="3"/>
      <c r="K24" s="2"/>
      <c r="S24" s="3"/>
    </row>
    <row r="25" spans="1:19" x14ac:dyDescent="0.3">
      <c r="A25" s="27" t="s">
        <v>17</v>
      </c>
      <c r="B25" s="28"/>
      <c r="C25" s="28"/>
      <c r="D25" s="28"/>
      <c r="E25" s="28"/>
      <c r="F25" s="28"/>
      <c r="G25" s="28"/>
      <c r="H25" s="28"/>
      <c r="I25" s="29"/>
      <c r="K25" s="27" t="s">
        <v>17</v>
      </c>
      <c r="L25" s="28"/>
      <c r="M25" s="28"/>
      <c r="N25" s="28"/>
      <c r="O25" s="28"/>
      <c r="P25" s="28"/>
      <c r="Q25" s="28"/>
      <c r="R25" s="28"/>
      <c r="S25" s="29"/>
    </row>
    <row r="26" spans="1:19" x14ac:dyDescent="0.3">
      <c r="A26" s="2">
        <v>30</v>
      </c>
      <c r="B26">
        <v>45</v>
      </c>
      <c r="C26">
        <v>60</v>
      </c>
      <c r="D26">
        <v>90</v>
      </c>
      <c r="I26" s="3"/>
      <c r="K26" s="2">
        <v>30</v>
      </c>
      <c r="L26">
        <v>45</v>
      </c>
      <c r="M26">
        <v>60</v>
      </c>
      <c r="N26">
        <v>90</v>
      </c>
      <c r="S26" s="3"/>
    </row>
    <row r="27" spans="1:19" x14ac:dyDescent="0.3">
      <c r="A27" s="16">
        <v>6</v>
      </c>
      <c r="B27" s="15">
        <v>7</v>
      </c>
      <c r="C27" s="15">
        <v>8.5</v>
      </c>
      <c r="D27" s="15">
        <v>12.5</v>
      </c>
      <c r="G27" s="1">
        <f>B27*0.85</f>
        <v>5.95</v>
      </c>
      <c r="H27" s="1">
        <f t="shared" ref="H27:I27" si="17">C27*0.85</f>
        <v>7.2249999999999996</v>
      </c>
      <c r="I27" s="1">
        <f t="shared" si="17"/>
        <v>10.625</v>
      </c>
      <c r="K27" s="16">
        <v>7</v>
      </c>
      <c r="L27" s="15">
        <v>9</v>
      </c>
      <c r="M27" s="15">
        <v>10</v>
      </c>
      <c r="N27" s="15">
        <v>14</v>
      </c>
      <c r="Q27" s="1">
        <f>L27*0.85</f>
        <v>7.6499999999999995</v>
      </c>
      <c r="R27" s="1">
        <f t="shared" ref="R27:S27" si="18">M27*0.85</f>
        <v>8.5</v>
      </c>
      <c r="S27" s="8">
        <f t="shared" si="18"/>
        <v>11.9</v>
      </c>
    </row>
    <row r="28" spans="1:19" x14ac:dyDescent="0.3">
      <c r="A28" s="27" t="s">
        <v>1</v>
      </c>
      <c r="B28" s="28"/>
      <c r="C28" s="28"/>
      <c r="D28" s="28"/>
      <c r="F28" s="28" t="s">
        <v>0</v>
      </c>
      <c r="G28" s="28"/>
      <c r="H28" s="28"/>
      <c r="I28" s="29"/>
      <c r="K28" s="27" t="s">
        <v>1</v>
      </c>
      <c r="L28" s="28"/>
      <c r="M28" s="28"/>
      <c r="N28" s="28"/>
      <c r="P28" s="28" t="s">
        <v>0</v>
      </c>
      <c r="Q28" s="28"/>
      <c r="R28" s="28"/>
      <c r="S28" s="29"/>
    </row>
    <row r="29" spans="1:19" x14ac:dyDescent="0.3">
      <c r="A29" s="2"/>
      <c r="B29" s="9">
        <f t="shared" ref="B29:C29" si="19">B27*5*(1-B33)</f>
        <v>32.549999999999997</v>
      </c>
      <c r="C29" s="9">
        <f t="shared" si="19"/>
        <v>39.1</v>
      </c>
      <c r="D29" s="9">
        <f>D27*5*(1-D33)</f>
        <v>56.25</v>
      </c>
      <c r="F29">
        <v>30</v>
      </c>
      <c r="G29">
        <v>45</v>
      </c>
      <c r="H29">
        <v>60</v>
      </c>
      <c r="I29" s="3">
        <v>90</v>
      </c>
      <c r="K29" s="2">
        <v>25</v>
      </c>
      <c r="L29" s="9">
        <f t="shared" ref="L29:M29" si="20">L27*5*(1-L33)</f>
        <v>41.849999999999994</v>
      </c>
      <c r="M29" s="9">
        <f t="shared" si="20"/>
        <v>46</v>
      </c>
      <c r="N29" s="9">
        <f>N27*5*(1-N33)</f>
        <v>63</v>
      </c>
      <c r="P29">
        <v>30</v>
      </c>
      <c r="Q29">
        <v>45</v>
      </c>
      <c r="R29">
        <v>60</v>
      </c>
      <c r="S29" s="3">
        <v>90</v>
      </c>
    </row>
    <row r="30" spans="1:19" x14ac:dyDescent="0.3">
      <c r="A30" s="27" t="s">
        <v>2</v>
      </c>
      <c r="B30" s="28"/>
      <c r="C30" s="28"/>
      <c r="D30" s="28"/>
      <c r="F30" s="28" t="s">
        <v>4</v>
      </c>
      <c r="G30" s="28"/>
      <c r="H30" s="28"/>
      <c r="I30" s="29"/>
      <c r="K30" s="27" t="s">
        <v>2</v>
      </c>
      <c r="L30" s="28"/>
      <c r="M30" s="28"/>
      <c r="N30" s="28"/>
      <c r="P30" s="28" t="s">
        <v>4</v>
      </c>
      <c r="Q30" s="28"/>
      <c r="R30" s="28"/>
      <c r="S30" s="29"/>
    </row>
    <row r="31" spans="1:19" x14ac:dyDescent="0.3">
      <c r="A31" s="2"/>
      <c r="B31" s="7">
        <f>B29/5</f>
        <v>6.51</v>
      </c>
      <c r="C31" s="7">
        <f>C29/5</f>
        <v>7.82</v>
      </c>
      <c r="D31" s="7">
        <f t="shared" ref="D31" si="21">D29/5</f>
        <v>11.25</v>
      </c>
      <c r="G31" s="1">
        <f>B31*0.85</f>
        <v>5.5335000000000001</v>
      </c>
      <c r="H31" s="1">
        <f t="shared" ref="H31:I31" si="22">C31*0.85</f>
        <v>6.6470000000000002</v>
      </c>
      <c r="I31" s="8">
        <f t="shared" si="22"/>
        <v>9.5625</v>
      </c>
      <c r="K31" s="2"/>
      <c r="L31" s="7">
        <f>L29/5</f>
        <v>8.3699999999999992</v>
      </c>
      <c r="M31" s="7">
        <f>M29/5</f>
        <v>9.1999999999999993</v>
      </c>
      <c r="N31" s="7">
        <f t="shared" ref="N31" si="23">N29/5</f>
        <v>12.6</v>
      </c>
      <c r="Q31" s="1">
        <f>L31*0.85</f>
        <v>7.1144999999999987</v>
      </c>
      <c r="R31" s="1">
        <f t="shared" ref="R31:S31" si="24">M31*0.85</f>
        <v>7.8199999999999994</v>
      </c>
      <c r="S31" s="8">
        <f t="shared" si="24"/>
        <v>10.709999999999999</v>
      </c>
    </row>
    <row r="32" spans="1:19" x14ac:dyDescent="0.3">
      <c r="A32" s="27" t="s">
        <v>3</v>
      </c>
      <c r="B32" s="28"/>
      <c r="C32" s="28"/>
      <c r="D32" s="28"/>
      <c r="I32" s="3"/>
      <c r="K32" s="27" t="s">
        <v>3</v>
      </c>
      <c r="L32" s="28"/>
      <c r="M32" s="28"/>
      <c r="N32" s="28"/>
      <c r="S32" s="3"/>
    </row>
    <row r="33" spans="1:19" ht="15" thickBot="1" x14ac:dyDescent="0.35">
      <c r="A33" s="10"/>
      <c r="B33" s="11">
        <v>7.0000000000000007E-2</v>
      </c>
      <c r="C33" s="11">
        <v>0.08</v>
      </c>
      <c r="D33" s="11">
        <v>0.1</v>
      </c>
      <c r="E33" s="12"/>
      <c r="F33" s="12"/>
      <c r="G33" t="s">
        <v>8</v>
      </c>
      <c r="H33">
        <v>100</v>
      </c>
      <c r="I33" s="8">
        <f>H33*0.4*H31+H33*0.2*H27+H33*0.3*R31+H33*0.1*R27</f>
        <v>729.98</v>
      </c>
      <c r="J33" s="1">
        <f>I33*5</f>
        <v>3649.9</v>
      </c>
      <c r="K33" s="10"/>
      <c r="L33" s="11">
        <v>7.0000000000000007E-2</v>
      </c>
      <c r="M33" s="11">
        <v>0.08</v>
      </c>
      <c r="N33" s="11">
        <v>0.1</v>
      </c>
      <c r="O33" s="12"/>
      <c r="P33" s="12"/>
      <c r="Q33" s="12"/>
      <c r="R33" s="12"/>
      <c r="S33" s="13"/>
    </row>
    <row r="34" spans="1:19" x14ac:dyDescent="0.3">
      <c r="B34" s="18">
        <f>(B29-B17)/B17</f>
        <v>0.16249999999999989</v>
      </c>
      <c r="C34" s="18">
        <f>(C29-C17)/C17</f>
        <v>0.20307692307692313</v>
      </c>
      <c r="D34" s="18">
        <f>(D29-D17)/D17</f>
        <v>0.13636363636363635</v>
      </c>
      <c r="I34" s="8"/>
      <c r="L34" s="18">
        <f t="shared" ref="L34" si="25">(L29-L17)/L17</f>
        <v>0.28769230769230753</v>
      </c>
      <c r="M34" s="18">
        <f>(M29-M17)/M17</f>
        <v>0.24324324324324326</v>
      </c>
      <c r="N34" s="18">
        <f>(N29-N17)/N17</f>
        <v>0.16666666666666666</v>
      </c>
    </row>
    <row r="35" spans="1:19" x14ac:dyDescent="0.3">
      <c r="G35" s="1">
        <f>I33/H33</f>
        <v>7.2998000000000003</v>
      </c>
      <c r="H35" s="17"/>
      <c r="I35" s="8"/>
    </row>
    <row r="36" spans="1:19" x14ac:dyDescent="0.3">
      <c r="B36">
        <f>80*5.9*4.9</f>
        <v>2312.8000000000002</v>
      </c>
      <c r="L36" s="21">
        <f>L29*2</f>
        <v>83.699999999999989</v>
      </c>
      <c r="M36" s="21">
        <f t="shared" ref="M36:N36" si="26">M29*2</f>
        <v>92</v>
      </c>
      <c r="N36" s="21">
        <f t="shared" si="26"/>
        <v>126</v>
      </c>
    </row>
    <row r="37" spans="1:19" x14ac:dyDescent="0.3">
      <c r="L37" s="21"/>
      <c r="M37" s="21"/>
      <c r="N37" s="21"/>
    </row>
    <row r="39" spans="1:19" x14ac:dyDescent="0.3">
      <c r="A39" s="27" t="s">
        <v>28</v>
      </c>
      <c r="B39" s="28"/>
      <c r="C39" s="28"/>
      <c r="D39" s="28"/>
      <c r="E39" s="28"/>
      <c r="F39" s="28"/>
      <c r="G39" s="28"/>
      <c r="H39" s="28"/>
      <c r="I39" s="29"/>
      <c r="K39" s="27" t="s">
        <v>29</v>
      </c>
      <c r="L39" s="28"/>
      <c r="M39" s="28"/>
      <c r="N39" s="28"/>
      <c r="O39" s="28"/>
      <c r="P39" s="28"/>
      <c r="Q39" s="28"/>
      <c r="R39" s="28"/>
      <c r="S39" s="29"/>
    </row>
    <row r="40" spans="1:19" x14ac:dyDescent="0.3">
      <c r="A40" s="2">
        <v>30</v>
      </c>
      <c r="B40">
        <v>45</v>
      </c>
      <c r="C40">
        <v>60</v>
      </c>
      <c r="D40">
        <v>90</v>
      </c>
      <c r="I40" s="3"/>
      <c r="K40" s="2">
        <v>30</v>
      </c>
      <c r="L40">
        <v>45</v>
      </c>
      <c r="M40">
        <v>60</v>
      </c>
      <c r="N40">
        <v>90</v>
      </c>
      <c r="S40" s="3"/>
    </row>
    <row r="41" spans="1:19" x14ac:dyDescent="0.3">
      <c r="A41" s="24">
        <v>6.5</v>
      </c>
      <c r="B41" s="25">
        <v>8</v>
      </c>
      <c r="C41" s="25">
        <v>9.5</v>
      </c>
      <c r="D41" s="25">
        <v>13.5</v>
      </c>
      <c r="G41" s="1">
        <f>B41*0.85</f>
        <v>6.8</v>
      </c>
      <c r="H41" s="1">
        <f t="shared" ref="H41" si="27">C41*0.85</f>
        <v>8.0749999999999993</v>
      </c>
      <c r="I41" s="1">
        <f t="shared" ref="I41" si="28">D41*0.85</f>
        <v>11.475</v>
      </c>
      <c r="K41" s="24">
        <v>9</v>
      </c>
      <c r="L41" s="25">
        <v>12</v>
      </c>
      <c r="M41" s="25">
        <v>13.5</v>
      </c>
      <c r="N41" s="25">
        <v>17.5</v>
      </c>
      <c r="Q41" s="1">
        <f>L41*0.85</f>
        <v>10.199999999999999</v>
      </c>
      <c r="R41" s="1">
        <f t="shared" ref="R41" si="29">M41*0.85</f>
        <v>11.475</v>
      </c>
      <c r="S41" s="8">
        <f t="shared" ref="S41" si="30">N41*0.85</f>
        <v>14.875</v>
      </c>
    </row>
    <row r="42" spans="1:19" x14ac:dyDescent="0.3">
      <c r="A42" s="27" t="s">
        <v>1</v>
      </c>
      <c r="B42" s="28"/>
      <c r="C42" s="28"/>
      <c r="D42" s="28"/>
      <c r="F42" s="28" t="s">
        <v>0</v>
      </c>
      <c r="G42" s="28"/>
      <c r="H42" s="28"/>
      <c r="I42" s="29"/>
      <c r="K42" s="27" t="s">
        <v>1</v>
      </c>
      <c r="L42" s="28"/>
      <c r="M42" s="28"/>
      <c r="N42" s="28"/>
      <c r="P42" s="28" t="s">
        <v>0</v>
      </c>
      <c r="Q42" s="28"/>
      <c r="R42" s="28"/>
      <c r="S42" s="29"/>
    </row>
    <row r="43" spans="1:19" x14ac:dyDescent="0.3">
      <c r="A43" s="26">
        <f>A41*5</f>
        <v>32.5</v>
      </c>
      <c r="B43" s="9">
        <f t="shared" ref="B43:C43" si="31">B41*5*(1-B47)</f>
        <v>37.199999999999996</v>
      </c>
      <c r="C43" s="9">
        <f t="shared" si="31"/>
        <v>43.7</v>
      </c>
      <c r="D43" s="9">
        <f>D41*5*(1-D47)</f>
        <v>60.75</v>
      </c>
      <c r="F43">
        <v>30</v>
      </c>
      <c r="G43">
        <v>45</v>
      </c>
      <c r="H43">
        <v>60</v>
      </c>
      <c r="I43" s="3">
        <v>90</v>
      </c>
      <c r="K43" s="26">
        <f>K41*5</f>
        <v>45</v>
      </c>
      <c r="L43" s="9">
        <f>L41*5*(1-L47)</f>
        <v>55.8</v>
      </c>
      <c r="M43" s="9">
        <f t="shared" ref="M43" si="32">M41*5*(1-M47)</f>
        <v>62.1</v>
      </c>
      <c r="N43" s="9">
        <f>N41*5*(1-N47)</f>
        <v>78.75</v>
      </c>
      <c r="P43">
        <v>30</v>
      </c>
      <c r="Q43">
        <v>45</v>
      </c>
      <c r="R43">
        <v>60</v>
      </c>
      <c r="S43" s="3">
        <v>90</v>
      </c>
    </row>
    <row r="44" spans="1:19" x14ac:dyDescent="0.3">
      <c r="A44" s="27" t="s">
        <v>2</v>
      </c>
      <c r="B44" s="28"/>
      <c r="C44" s="28"/>
      <c r="D44" s="28"/>
      <c r="F44" s="28" t="s">
        <v>4</v>
      </c>
      <c r="G44" s="28"/>
      <c r="H44" s="28"/>
      <c r="I44" s="29"/>
      <c r="K44" s="27" t="s">
        <v>2</v>
      </c>
      <c r="L44" s="28"/>
      <c r="M44" s="28"/>
      <c r="N44" s="28"/>
      <c r="P44" s="28" t="s">
        <v>4</v>
      </c>
      <c r="Q44" s="28"/>
      <c r="R44" s="28"/>
      <c r="S44" s="29"/>
    </row>
    <row r="45" spans="1:19" x14ac:dyDescent="0.3">
      <c r="A45" s="2"/>
      <c r="B45" s="7">
        <f>B43/5</f>
        <v>7.4399999999999995</v>
      </c>
      <c r="C45" s="7">
        <f>C43/5</f>
        <v>8.74</v>
      </c>
      <c r="D45" s="7">
        <f t="shared" ref="D45" si="33">D43/5</f>
        <v>12.15</v>
      </c>
      <c r="G45" s="1">
        <f>B45*0.85</f>
        <v>6.3239999999999998</v>
      </c>
      <c r="H45" s="1">
        <f t="shared" ref="H45" si="34">C45*0.85</f>
        <v>7.4290000000000003</v>
      </c>
      <c r="I45" s="8">
        <f t="shared" ref="I45" si="35">D45*0.85</f>
        <v>10.327500000000001</v>
      </c>
      <c r="K45" s="2"/>
      <c r="L45" s="7">
        <f>L43/5</f>
        <v>11.16</v>
      </c>
      <c r="M45" s="7">
        <f>M43/5</f>
        <v>12.42</v>
      </c>
      <c r="N45" s="7">
        <f t="shared" ref="N45" si="36">N43/5</f>
        <v>15.75</v>
      </c>
      <c r="Q45" s="1">
        <f>L45*0.85</f>
        <v>9.4860000000000007</v>
      </c>
      <c r="R45" s="1">
        <f t="shared" ref="R45" si="37">M45*0.85</f>
        <v>10.557</v>
      </c>
      <c r="S45" s="8">
        <f t="shared" ref="S45" si="38">N45*0.85</f>
        <v>13.387499999999999</v>
      </c>
    </row>
    <row r="46" spans="1:19" x14ac:dyDescent="0.3">
      <c r="A46" s="27" t="s">
        <v>3</v>
      </c>
      <c r="B46" s="28"/>
      <c r="C46" s="28"/>
      <c r="D46" s="28"/>
      <c r="I46" s="3"/>
      <c r="K46" s="27" t="s">
        <v>3</v>
      </c>
      <c r="L46" s="28"/>
      <c r="M46" s="28"/>
      <c r="N46" s="28"/>
      <c r="S46" s="3"/>
    </row>
    <row r="47" spans="1:19" ht="15" thickBot="1" x14ac:dyDescent="0.35">
      <c r="A47" s="10"/>
      <c r="B47" s="11">
        <v>7.0000000000000007E-2</v>
      </c>
      <c r="C47" s="11">
        <v>0.08</v>
      </c>
      <c r="D47" s="11">
        <v>0.1</v>
      </c>
      <c r="E47" s="12"/>
      <c r="F47" s="12"/>
      <c r="G47" t="s">
        <v>8</v>
      </c>
      <c r="H47">
        <v>100</v>
      </c>
      <c r="I47" s="8">
        <f>H47*0.4*H45+H47*0.2*H41+H47*0.3*R45+H47*0.1*R41</f>
        <v>890.12000000000012</v>
      </c>
      <c r="J47" s="1">
        <f>I47*5</f>
        <v>4450.6000000000004</v>
      </c>
      <c r="K47" s="10"/>
      <c r="L47" s="11">
        <v>7.0000000000000007E-2</v>
      </c>
      <c r="M47" s="11">
        <v>0.08</v>
      </c>
      <c r="N47" s="11">
        <v>0.1</v>
      </c>
      <c r="O47" s="12"/>
      <c r="P47" s="12"/>
      <c r="Q47" s="12"/>
      <c r="R47" s="12"/>
      <c r="S47" s="13"/>
    </row>
    <row r="48" spans="1:19" x14ac:dyDescent="0.3">
      <c r="B48" s="18">
        <f>(B43-B29)/B29</f>
        <v>0.14285714285714282</v>
      </c>
      <c r="C48" s="18">
        <f t="shared" ref="C48:D48" si="39">(C43-C29)/C29</f>
        <v>0.11764705882352944</v>
      </c>
      <c r="D48" s="18">
        <f t="shared" si="39"/>
        <v>0.08</v>
      </c>
      <c r="L48" s="18">
        <f>(L43-L29)/L29</f>
        <v>0.33333333333333343</v>
      </c>
      <c r="M48" s="18">
        <f t="shared" ref="M48:N48" si="40">(M43-M29)/M29</f>
        <v>0.35000000000000003</v>
      </c>
      <c r="N48" s="18">
        <f t="shared" si="40"/>
        <v>0.25</v>
      </c>
    </row>
  </sheetData>
  <mergeCells count="50">
    <mergeCell ref="A44:D44"/>
    <mergeCell ref="F44:I44"/>
    <mergeCell ref="K44:N44"/>
    <mergeCell ref="P44:S44"/>
    <mergeCell ref="A46:D46"/>
    <mergeCell ref="K46:N46"/>
    <mergeCell ref="A39:I39"/>
    <mergeCell ref="K39:S39"/>
    <mergeCell ref="A42:D42"/>
    <mergeCell ref="F42:I42"/>
    <mergeCell ref="K42:N42"/>
    <mergeCell ref="P42:S42"/>
    <mergeCell ref="A30:D30"/>
    <mergeCell ref="F30:I30"/>
    <mergeCell ref="K30:N30"/>
    <mergeCell ref="P30:S30"/>
    <mergeCell ref="A32:D32"/>
    <mergeCell ref="K32:N32"/>
    <mergeCell ref="A25:I25"/>
    <mergeCell ref="K25:S25"/>
    <mergeCell ref="A28:D28"/>
    <mergeCell ref="F28:I28"/>
    <mergeCell ref="K28:N28"/>
    <mergeCell ref="P28:S28"/>
    <mergeCell ref="A18:D18"/>
    <mergeCell ref="F18:I18"/>
    <mergeCell ref="K18:N18"/>
    <mergeCell ref="P18:S18"/>
    <mergeCell ref="A20:D20"/>
    <mergeCell ref="K20:N20"/>
    <mergeCell ref="A13:I13"/>
    <mergeCell ref="K13:S13"/>
    <mergeCell ref="A16:D16"/>
    <mergeCell ref="F16:I16"/>
    <mergeCell ref="K16:N16"/>
    <mergeCell ref="P16:S16"/>
    <mergeCell ref="A8:D8"/>
    <mergeCell ref="F8:I8"/>
    <mergeCell ref="K8:N8"/>
    <mergeCell ref="P8:S8"/>
    <mergeCell ref="A10:D10"/>
    <mergeCell ref="K10:N10"/>
    <mergeCell ref="A1:I2"/>
    <mergeCell ref="K1:S2"/>
    <mergeCell ref="A3:I3"/>
    <mergeCell ref="K3:S3"/>
    <mergeCell ref="A6:D6"/>
    <mergeCell ref="F6:I6"/>
    <mergeCell ref="K6:N6"/>
    <mergeCell ref="P6:S6"/>
  </mergeCells>
  <pageMargins left="0.7" right="0.7" top="0.75" bottom="0.75" header="0.3" footer="0.3"/>
  <pageSetup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4C8D-87C9-45B1-83EF-CB91F1FD1F91}">
  <dimension ref="A1:R23"/>
  <sheetViews>
    <sheetView tabSelected="1" topLeftCell="F1" workbookViewId="0">
      <selection activeCell="M4" sqref="M4"/>
    </sheetView>
  </sheetViews>
  <sheetFormatPr defaultRowHeight="14.4" x14ac:dyDescent="0.3"/>
  <cols>
    <col min="1" max="1" width="13.6640625" bestFit="1" customWidth="1"/>
    <col min="2" max="2" width="11.88671875" bestFit="1" customWidth="1"/>
    <col min="4" max="4" width="11.6640625" bestFit="1" customWidth="1"/>
    <col min="5" max="9" width="9.44140625" bestFit="1" customWidth="1"/>
  </cols>
  <sheetData>
    <row r="1" spans="1:18" x14ac:dyDescent="0.3">
      <c r="B1" t="s">
        <v>9</v>
      </c>
      <c r="C1" s="19">
        <f t="shared" ref="C1:I1" si="0">C3/22</f>
        <v>2.1818181818181817</v>
      </c>
      <c r="D1" s="19">
        <f t="shared" si="0"/>
        <v>3.2272727272727271</v>
      </c>
      <c r="E1" s="19">
        <f t="shared" si="0"/>
        <v>4.4090909090909092</v>
      </c>
      <c r="F1" s="19">
        <f t="shared" si="0"/>
        <v>5.1363636363636367</v>
      </c>
      <c r="G1" s="19">
        <f t="shared" si="0"/>
        <v>5.6363636363636367</v>
      </c>
      <c r="H1" s="19">
        <f t="shared" si="0"/>
        <v>4.0909090909090908</v>
      </c>
      <c r="I1" s="19">
        <f t="shared" si="0"/>
        <v>6.7272727272727275</v>
      </c>
      <c r="J1" s="19">
        <f>J3/22</f>
        <v>5.5454545454545459</v>
      </c>
      <c r="K1" s="19">
        <f>K3/22</f>
        <v>4.9545454545454541</v>
      </c>
    </row>
    <row r="2" spans="1:18" x14ac:dyDescent="0.3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18</v>
      </c>
      <c r="J2" t="s">
        <v>19</v>
      </c>
      <c r="K2" t="s">
        <v>20</v>
      </c>
      <c r="L2" t="s">
        <v>27</v>
      </c>
      <c r="Q2" t="s">
        <v>21</v>
      </c>
    </row>
    <row r="3" spans="1:18" x14ac:dyDescent="0.3">
      <c r="A3" t="s">
        <v>22</v>
      </c>
      <c r="B3">
        <v>2</v>
      </c>
      <c r="C3">
        <v>48</v>
      </c>
      <c r="D3">
        <v>71</v>
      </c>
      <c r="E3">
        <v>97</v>
      </c>
      <c r="F3">
        <v>113</v>
      </c>
      <c r="G3">
        <v>124</v>
      </c>
      <c r="H3">
        <v>90</v>
      </c>
      <c r="I3">
        <v>148</v>
      </c>
      <c r="J3">
        <v>122</v>
      </c>
      <c r="K3">
        <v>109</v>
      </c>
      <c r="L3">
        <v>85</v>
      </c>
      <c r="Q3">
        <v>120</v>
      </c>
    </row>
    <row r="4" spans="1:18" x14ac:dyDescent="0.3">
      <c r="A4" t="s">
        <v>23</v>
      </c>
      <c r="E4">
        <v>5.6</v>
      </c>
      <c r="F4">
        <v>6.5</v>
      </c>
      <c r="G4">
        <v>6.5</v>
      </c>
      <c r="H4">
        <v>6.5</v>
      </c>
      <c r="I4">
        <v>6.5</v>
      </c>
      <c r="J4">
        <v>7</v>
      </c>
      <c r="K4">
        <v>7.8</v>
      </c>
      <c r="L4">
        <v>7.8</v>
      </c>
      <c r="Q4" s="19">
        <f>Q6*2/(0.85*2.24*Q3)</f>
        <v>8.7535014005602232</v>
      </c>
      <c r="R4" s="19">
        <f>Q4/0.92</f>
        <v>9.5146754353915473</v>
      </c>
    </row>
    <row r="5" spans="1:18" x14ac:dyDescent="0.3">
      <c r="A5" t="s">
        <v>24</v>
      </c>
      <c r="E5">
        <v>6.4</v>
      </c>
      <c r="F5">
        <v>7.4</v>
      </c>
      <c r="G5">
        <v>7.4</v>
      </c>
      <c r="H5">
        <v>7.4</v>
      </c>
      <c r="I5">
        <v>7.4</v>
      </c>
      <c r="J5">
        <v>8</v>
      </c>
      <c r="K5">
        <v>9.1999999999999993</v>
      </c>
      <c r="L5">
        <v>9.1999999999999993</v>
      </c>
      <c r="Q5" s="19">
        <f>Q4*1.24</f>
        <v>10.854341736694677</v>
      </c>
      <c r="R5" s="19">
        <f>Q5/0.92</f>
        <v>11.798197539885518</v>
      </c>
    </row>
    <row r="6" spans="1:18" x14ac:dyDescent="0.3">
      <c r="A6" t="s">
        <v>25</v>
      </c>
      <c r="E6" s="20">
        <f>(E3/2*E4+E3/2*E5)*0.85</f>
        <v>494.7</v>
      </c>
      <c r="F6" s="20">
        <f t="shared" ref="F6:J6" si="1">(F3/2*F4+F3/2*F5)*0.85</f>
        <v>667.54750000000001</v>
      </c>
      <c r="G6" s="20">
        <f t="shared" si="1"/>
        <v>732.53</v>
      </c>
      <c r="H6" s="20">
        <f t="shared" si="1"/>
        <v>531.67499999999995</v>
      </c>
      <c r="I6" s="20">
        <f t="shared" si="1"/>
        <v>874.31</v>
      </c>
      <c r="J6" s="20">
        <f t="shared" si="1"/>
        <v>777.75</v>
      </c>
      <c r="K6" s="20">
        <f>(K3/2*K4+K3/2*K5)*0.85</f>
        <v>787.52499999999998</v>
      </c>
      <c r="L6" s="20">
        <f>(L3/2*L4+L3/2*L5)*0.85</f>
        <v>614.125</v>
      </c>
      <c r="Q6" s="20">
        <v>1000</v>
      </c>
    </row>
    <row r="7" spans="1:18" x14ac:dyDescent="0.3">
      <c r="A7" t="s">
        <v>26</v>
      </c>
      <c r="E7" s="20">
        <f t="shared" ref="E7:I7" si="2">E6*5.2</f>
        <v>2572.44</v>
      </c>
      <c r="F7" s="20">
        <f t="shared" si="2"/>
        <v>3471.2470000000003</v>
      </c>
      <c r="G7" s="20">
        <f t="shared" si="2"/>
        <v>3809.1559999999999</v>
      </c>
      <c r="H7" s="20">
        <f t="shared" si="2"/>
        <v>2764.71</v>
      </c>
      <c r="I7" s="20">
        <f t="shared" si="2"/>
        <v>4546.4120000000003</v>
      </c>
      <c r="J7" s="20">
        <f>J6*5.2</f>
        <v>4044.3</v>
      </c>
      <c r="K7" s="20">
        <f>K6*5.2</f>
        <v>4095.13</v>
      </c>
      <c r="L7" s="20">
        <f>L6*5.2</f>
        <v>3193.4500000000003</v>
      </c>
      <c r="M7" s="20">
        <f t="shared" ref="L7:M7" si="3">M6*5.2</f>
        <v>0</v>
      </c>
      <c r="Q7" s="20">
        <f>Q6*5.2</f>
        <v>5200</v>
      </c>
    </row>
    <row r="8" spans="1:18" x14ac:dyDescent="0.3">
      <c r="K8">
        <f>K6*50</f>
        <v>39376.25</v>
      </c>
    </row>
    <row r="9" spans="1:18" x14ac:dyDescent="0.3">
      <c r="J9" s="20"/>
      <c r="K9">
        <v>60000</v>
      </c>
    </row>
    <row r="10" spans="1:18" x14ac:dyDescent="0.3">
      <c r="K10">
        <f>K8-K9</f>
        <v>-20623.75</v>
      </c>
    </row>
    <row r="14" spans="1:18" x14ac:dyDescent="0.3">
      <c r="B14">
        <v>3110.49</v>
      </c>
    </row>
    <row r="15" spans="1:18" x14ac:dyDescent="0.3">
      <c r="B15">
        <v>2614.1999999999998</v>
      </c>
    </row>
    <row r="16" spans="1:18" x14ac:dyDescent="0.3">
      <c r="B16">
        <v>2577.35</v>
      </c>
    </row>
    <row r="17" spans="2:4" x14ac:dyDescent="0.3">
      <c r="B17">
        <v>2521.64</v>
      </c>
    </row>
    <row r="18" spans="2:4" x14ac:dyDescent="0.3">
      <c r="B18">
        <v>2631.89</v>
      </c>
    </row>
    <row r="19" spans="2:4" x14ac:dyDescent="0.3">
      <c r="B19">
        <v>2444.5100000000002</v>
      </c>
    </row>
    <row r="20" spans="2:4" x14ac:dyDescent="0.3">
      <c r="B20">
        <v>956.24</v>
      </c>
    </row>
    <row r="21" spans="2:4" x14ac:dyDescent="0.3">
      <c r="B21">
        <v>690.58</v>
      </c>
    </row>
    <row r="23" spans="2:4" x14ac:dyDescent="0.3">
      <c r="B23" s="22">
        <f>SUM(B14:B21)</f>
        <v>17546.900000000001</v>
      </c>
      <c r="C23">
        <f>1450*5</f>
        <v>7250</v>
      </c>
      <c r="D23" s="23">
        <f>C23+B23</f>
        <v>24796.9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Sheet1 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Popova</dc:creator>
  <cp:lastModifiedBy>Daria Popova</cp:lastModifiedBy>
  <dcterms:created xsi:type="dcterms:W3CDTF">2022-05-28T01:26:55Z</dcterms:created>
  <dcterms:modified xsi:type="dcterms:W3CDTF">2023-01-02T19:58:45Z</dcterms:modified>
</cp:coreProperties>
</file>