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330"/>
  <workbookPr/>
  <mc:AlternateContent xmlns:mc="http://schemas.openxmlformats.org/markup-compatibility/2006">
    <mc:Choice Requires="x15">
      <x15ac:absPath xmlns:x15ac="http://schemas.microsoft.com/office/spreadsheetml/2010/11/ac" url="D:\Docs\Finance\"/>
    </mc:Choice>
  </mc:AlternateContent>
  <xr:revisionPtr revIDLastSave="0" documentId="13_ncr:1_{1FE71FCA-4E11-40DE-A707-7029EB3C57DC}" xr6:coauthVersionLast="47" xr6:coauthVersionMax="47" xr10:uidLastSave="{00000000-0000-0000-0000-000000000000}"/>
  <bookViews>
    <workbookView xWindow="-108" yWindow="-108" windowWidth="23256" windowHeight="13176" xr2:uid="{00000000-000D-0000-FFFF-FFFF00000000}"/>
  </bookViews>
  <sheets>
    <sheet name="DEFINIR META" sheetId="1" r:id="rId1"/>
    <sheet name="GRÁFICOS" sheetId="2" r:id="rId2"/>
  </sheet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" i="1" l="1"/>
  <c r="L14" i="1"/>
  <c r="L13" i="1"/>
  <c r="L23" i="1"/>
  <c r="L24" i="1"/>
  <c r="L25" i="1"/>
  <c r="L26" i="1"/>
  <c r="L27" i="1"/>
  <c r="L28" i="1"/>
  <c r="L29" i="1"/>
  <c r="L30" i="1"/>
  <c r="L31" i="1"/>
  <c r="L32" i="1"/>
  <c r="L33" i="1"/>
  <c r="L34" i="1"/>
  <c r="L35" i="1"/>
  <c r="L36" i="1"/>
  <c r="L37" i="1"/>
  <c r="L38" i="1"/>
  <c r="L39" i="1"/>
  <c r="L40" i="1"/>
  <c r="L41" i="1"/>
  <c r="L42" i="1"/>
  <c r="L43" i="1"/>
  <c r="L44" i="1"/>
  <c r="L45" i="1"/>
  <c r="L46" i="1"/>
  <c r="L47" i="1"/>
  <c r="L48" i="1"/>
  <c r="L49" i="1"/>
  <c r="L50" i="1"/>
  <c r="L51" i="1"/>
  <c r="L52" i="1"/>
  <c r="L53" i="1"/>
  <c r="L54" i="1"/>
  <c r="L55" i="1"/>
  <c r="L56" i="1"/>
  <c r="L57" i="1"/>
  <c r="L58" i="1"/>
  <c r="L59" i="1"/>
  <c r="L60" i="1"/>
  <c r="L61" i="1"/>
  <c r="L62" i="1"/>
  <c r="L63" i="1"/>
  <c r="L64" i="1"/>
  <c r="L65" i="1"/>
  <c r="L66" i="1"/>
  <c r="L67" i="1"/>
  <c r="L68" i="1"/>
  <c r="L69" i="1"/>
  <c r="L70" i="1"/>
  <c r="L71" i="1"/>
  <c r="L72" i="1"/>
  <c r="L15" i="1"/>
  <c r="L16" i="1"/>
  <c r="L17" i="1"/>
  <c r="L18" i="1"/>
  <c r="L19" i="1"/>
  <c r="L20" i="1"/>
  <c r="L21" i="1"/>
  <c r="L22" i="1"/>
  <c r="I66" i="1"/>
  <c r="I67" i="1"/>
  <c r="I68" i="1"/>
  <c r="I69" i="1"/>
  <c r="I70" i="1"/>
  <c r="I71" i="1"/>
  <c r="I72" i="1"/>
  <c r="I43" i="1"/>
  <c r="I44" i="1"/>
  <c r="I45" i="1"/>
  <c r="I46" i="1"/>
  <c r="I47" i="1"/>
  <c r="I48" i="1"/>
  <c r="I49" i="1"/>
  <c r="I50" i="1"/>
  <c r="I51" i="1"/>
  <c r="I52" i="1"/>
  <c r="I53" i="1"/>
  <c r="I54" i="1"/>
  <c r="I55" i="1"/>
  <c r="I56" i="1"/>
  <c r="I57" i="1"/>
  <c r="I58" i="1"/>
  <c r="I59" i="1"/>
  <c r="I60" i="1"/>
  <c r="I61" i="1"/>
  <c r="I62" i="1"/>
  <c r="I63" i="1"/>
  <c r="I64" i="1"/>
  <c r="I65" i="1"/>
  <c r="I42" i="1"/>
  <c r="I41" i="1"/>
  <c r="I40" i="1"/>
  <c r="I39" i="1"/>
  <c r="I38" i="1"/>
  <c r="I37" i="1"/>
  <c r="I36" i="1"/>
  <c r="I35" i="1"/>
  <c r="I34" i="1"/>
  <c r="I33" i="1"/>
  <c r="I32" i="1"/>
  <c r="I31" i="1"/>
  <c r="I30" i="1"/>
  <c r="I29" i="1"/>
  <c r="I28" i="1"/>
  <c r="I27" i="1"/>
  <c r="I26" i="1"/>
  <c r="I25" i="1"/>
  <c r="I24" i="1"/>
  <c r="I23" i="1"/>
  <c r="I22" i="1"/>
  <c r="I21" i="1"/>
  <c r="I20" i="1"/>
  <c r="I19" i="1"/>
  <c r="I18" i="1"/>
  <c r="I17" i="1"/>
  <c r="I16" i="1"/>
  <c r="I15" i="1"/>
  <c r="I14" i="1"/>
  <c r="I13" i="1"/>
  <c r="C10" i="1"/>
  <c r="E14" i="1"/>
  <c r="E13" i="1" l="1"/>
  <c r="F13" i="1" s="1"/>
  <c r="E69" i="1"/>
  <c r="E65" i="1"/>
  <c r="E61" i="1"/>
  <c r="E57" i="1"/>
  <c r="E53" i="1"/>
  <c r="E49" i="1"/>
  <c r="E45" i="1"/>
  <c r="E41" i="1"/>
  <c r="E37" i="1"/>
  <c r="E33" i="1"/>
  <c r="E29" i="1"/>
  <c r="E25" i="1"/>
  <c r="E21" i="1"/>
  <c r="E17" i="1"/>
  <c r="E72" i="1"/>
  <c r="E68" i="1"/>
  <c r="E64" i="1"/>
  <c r="E60" i="1"/>
  <c r="E56" i="1"/>
  <c r="E52" i="1"/>
  <c r="E48" i="1"/>
  <c r="E44" i="1"/>
  <c r="E40" i="1"/>
  <c r="E36" i="1"/>
  <c r="E32" i="1"/>
  <c r="E28" i="1"/>
  <c r="E24" i="1"/>
  <c r="E20" i="1"/>
  <c r="E16" i="1"/>
  <c r="E71" i="1"/>
  <c r="E67" i="1"/>
  <c r="E63" i="1"/>
  <c r="E59" i="1"/>
  <c r="E55" i="1"/>
  <c r="E51" i="1"/>
  <c r="E47" i="1"/>
  <c r="E43" i="1"/>
  <c r="E39" i="1"/>
  <c r="E35" i="1"/>
  <c r="E31" i="1"/>
  <c r="E27" i="1"/>
  <c r="E23" i="1"/>
  <c r="E19" i="1"/>
  <c r="E15" i="1"/>
  <c r="E70" i="1"/>
  <c r="E66" i="1"/>
  <c r="E62" i="1"/>
  <c r="E58" i="1"/>
  <c r="E54" i="1"/>
  <c r="E50" i="1"/>
  <c r="E46" i="1"/>
  <c r="E42" i="1"/>
  <c r="E38" i="1"/>
  <c r="E34" i="1"/>
  <c r="E30" i="1"/>
  <c r="E26" i="1"/>
  <c r="E22" i="1"/>
  <c r="E18" i="1"/>
  <c r="F14" i="1" l="1"/>
  <c r="J14" i="1" s="1"/>
  <c r="J13" i="1"/>
  <c r="H13" i="1"/>
  <c r="F15" i="1" l="1"/>
  <c r="F16" i="1" s="1"/>
  <c r="M14" i="1"/>
  <c r="N14" i="1" s="1"/>
  <c r="J15" i="1" l="1"/>
  <c r="F17" i="1"/>
  <c r="J16" i="1"/>
  <c r="M15" i="1"/>
  <c r="N15" i="1" s="1"/>
  <c r="F18" i="1" l="1"/>
  <c r="J17" i="1"/>
  <c r="M16" i="1"/>
  <c r="N16" i="1" s="1"/>
  <c r="F19" i="1" l="1"/>
  <c r="J18" i="1"/>
  <c r="F20" i="1" l="1"/>
  <c r="J19" i="1"/>
  <c r="M17" i="1"/>
  <c r="N17" i="1" s="1"/>
  <c r="F21" i="1" l="1"/>
  <c r="J20" i="1"/>
  <c r="F22" i="1" l="1"/>
  <c r="J21" i="1"/>
  <c r="M18" i="1"/>
  <c r="N18" i="1" s="1"/>
  <c r="F23" i="1" l="1"/>
  <c r="J22" i="1"/>
  <c r="F24" i="1" l="1"/>
  <c r="J23" i="1"/>
  <c r="M19" i="1"/>
  <c r="N19" i="1" s="1"/>
  <c r="F25" i="1" l="1"/>
  <c r="J24" i="1"/>
  <c r="F26" i="1" l="1"/>
  <c r="J25" i="1"/>
  <c r="M20" i="1"/>
  <c r="N20" i="1" s="1"/>
  <c r="F27" i="1" l="1"/>
  <c r="J26" i="1"/>
  <c r="F28" i="1" l="1"/>
  <c r="J27" i="1"/>
  <c r="M21" i="1"/>
  <c r="N21" i="1" s="1"/>
  <c r="F29" i="1" l="1"/>
  <c r="J28" i="1"/>
  <c r="F30" i="1" l="1"/>
  <c r="J29" i="1"/>
  <c r="M22" i="1"/>
  <c r="N22" i="1" s="1"/>
  <c r="F31" i="1" l="1"/>
  <c r="J30" i="1"/>
  <c r="F32" i="1" l="1"/>
  <c r="J31" i="1"/>
  <c r="M23" i="1"/>
  <c r="N23" i="1" s="1"/>
  <c r="F33" i="1" l="1"/>
  <c r="J32" i="1"/>
  <c r="F34" i="1" l="1"/>
  <c r="J33" i="1"/>
  <c r="M24" i="1"/>
  <c r="N24" i="1" s="1"/>
  <c r="F35" i="1" l="1"/>
  <c r="J34" i="1"/>
  <c r="F36" i="1" l="1"/>
  <c r="J35" i="1"/>
  <c r="M25" i="1"/>
  <c r="N25" i="1" s="1"/>
  <c r="F37" i="1" l="1"/>
  <c r="J36" i="1"/>
  <c r="F38" i="1" l="1"/>
  <c r="J37" i="1"/>
  <c r="M26" i="1"/>
  <c r="N26" i="1" s="1"/>
  <c r="F39" i="1" l="1"/>
  <c r="J38" i="1"/>
  <c r="F40" i="1" l="1"/>
  <c r="J39" i="1"/>
  <c r="M27" i="1"/>
  <c r="N27" i="1" s="1"/>
  <c r="F41" i="1" l="1"/>
  <c r="J40" i="1"/>
  <c r="F42" i="1" l="1"/>
  <c r="J41" i="1"/>
  <c r="M28" i="1"/>
  <c r="N28" i="1" s="1"/>
  <c r="F43" i="1" l="1"/>
  <c r="J42" i="1"/>
  <c r="F44" i="1" l="1"/>
  <c r="J43" i="1"/>
  <c r="M29" i="1"/>
  <c r="N29" i="1" s="1"/>
  <c r="F45" i="1" l="1"/>
  <c r="J44" i="1"/>
  <c r="F46" i="1" l="1"/>
  <c r="J45" i="1"/>
  <c r="M30" i="1"/>
  <c r="N30" i="1" s="1"/>
  <c r="F47" i="1" l="1"/>
  <c r="J46" i="1"/>
  <c r="F48" i="1" l="1"/>
  <c r="J47" i="1"/>
  <c r="M31" i="1"/>
  <c r="N31" i="1" s="1"/>
  <c r="F49" i="1" l="1"/>
  <c r="J48" i="1"/>
  <c r="F50" i="1" l="1"/>
  <c r="J49" i="1"/>
  <c r="M32" i="1"/>
  <c r="N32" i="1" s="1"/>
  <c r="F51" i="1" l="1"/>
  <c r="J50" i="1"/>
  <c r="F52" i="1" l="1"/>
  <c r="J51" i="1"/>
  <c r="M33" i="1"/>
  <c r="N33" i="1" s="1"/>
  <c r="F53" i="1" l="1"/>
  <c r="J52" i="1"/>
  <c r="F54" i="1" l="1"/>
  <c r="J53" i="1"/>
  <c r="M34" i="1"/>
  <c r="N34" i="1" s="1"/>
  <c r="F55" i="1" l="1"/>
  <c r="J54" i="1"/>
  <c r="F56" i="1" l="1"/>
  <c r="J55" i="1"/>
  <c r="M35" i="1"/>
  <c r="N35" i="1" s="1"/>
  <c r="F57" i="1" l="1"/>
  <c r="J56" i="1"/>
  <c r="F58" i="1" l="1"/>
  <c r="J57" i="1"/>
  <c r="M36" i="1"/>
  <c r="N36" i="1" s="1"/>
  <c r="F59" i="1" l="1"/>
  <c r="J58" i="1"/>
  <c r="F60" i="1" l="1"/>
  <c r="J59" i="1"/>
  <c r="M37" i="1"/>
  <c r="N37" i="1" s="1"/>
  <c r="F61" i="1" l="1"/>
  <c r="J60" i="1"/>
  <c r="F62" i="1" l="1"/>
  <c r="J61" i="1"/>
  <c r="M38" i="1"/>
  <c r="N38" i="1" s="1"/>
  <c r="F63" i="1" l="1"/>
  <c r="J62" i="1"/>
  <c r="F64" i="1" l="1"/>
  <c r="J63" i="1"/>
  <c r="M39" i="1"/>
  <c r="N39" i="1" s="1"/>
  <c r="F65" i="1" l="1"/>
  <c r="J64" i="1"/>
  <c r="F66" i="1" l="1"/>
  <c r="J65" i="1"/>
  <c r="M40" i="1"/>
  <c r="N40" i="1" s="1"/>
  <c r="F67" i="1" l="1"/>
  <c r="J66" i="1"/>
  <c r="F68" i="1" l="1"/>
  <c r="J67" i="1"/>
  <c r="M41" i="1"/>
  <c r="N41" i="1" s="1"/>
  <c r="F69" i="1" l="1"/>
  <c r="J68" i="1"/>
  <c r="F70" i="1" l="1"/>
  <c r="J69" i="1"/>
  <c r="M42" i="1"/>
  <c r="N42" i="1" s="1"/>
  <c r="F71" i="1" l="1"/>
  <c r="J70" i="1"/>
  <c r="F72" i="1" l="1"/>
  <c r="J72" i="1" s="1"/>
  <c r="J71" i="1"/>
  <c r="M43" i="1"/>
  <c r="N43" i="1" s="1"/>
  <c r="M44" i="1" l="1"/>
  <c r="N44" i="1" s="1"/>
  <c r="M45" i="1" l="1"/>
  <c r="N45" i="1" s="1"/>
  <c r="M46" i="1" l="1"/>
  <c r="N46" i="1" s="1"/>
  <c r="M47" i="1" l="1"/>
  <c r="N47" i="1" s="1"/>
  <c r="M48" i="1" l="1"/>
  <c r="N48" i="1" s="1"/>
  <c r="M49" i="1" l="1"/>
  <c r="N49" i="1" s="1"/>
  <c r="M50" i="1" l="1"/>
  <c r="N50" i="1" s="1"/>
  <c r="M51" i="1" l="1"/>
  <c r="N51" i="1" s="1"/>
  <c r="M52" i="1" l="1"/>
  <c r="N52" i="1" s="1"/>
  <c r="M53" i="1" l="1"/>
  <c r="N53" i="1" s="1"/>
  <c r="M54" i="1" l="1"/>
  <c r="N54" i="1" s="1"/>
  <c r="M55" i="1" l="1"/>
  <c r="N55" i="1" s="1"/>
  <c r="M56" i="1" l="1"/>
  <c r="N56" i="1" s="1"/>
  <c r="M57" i="1" l="1"/>
  <c r="N57" i="1" s="1"/>
  <c r="M58" i="1" l="1"/>
  <c r="N58" i="1" s="1"/>
  <c r="M59" i="1" l="1"/>
  <c r="N59" i="1" s="1"/>
  <c r="M60" i="1" l="1"/>
  <c r="N60" i="1" s="1"/>
  <c r="M61" i="1" l="1"/>
  <c r="N61" i="1" s="1"/>
  <c r="M62" i="1" l="1"/>
  <c r="N62" i="1" s="1"/>
  <c r="M63" i="1" l="1"/>
  <c r="N63" i="1" s="1"/>
  <c r="M64" i="1" l="1"/>
  <c r="N64" i="1" s="1"/>
  <c r="M65" i="1" l="1"/>
  <c r="N65" i="1" s="1"/>
  <c r="M66" i="1" l="1"/>
  <c r="N66" i="1" s="1"/>
  <c r="M67" i="1" l="1"/>
  <c r="N67" i="1" s="1"/>
  <c r="M68" i="1" l="1"/>
  <c r="N68" i="1" s="1"/>
  <c r="M69" i="1" l="1"/>
  <c r="N69" i="1" s="1"/>
  <c r="M70" i="1" l="1"/>
  <c r="N70" i="1" s="1"/>
  <c r="M71" i="1" l="1"/>
  <c r="N71" i="1" s="1"/>
  <c r="M72" i="1" l="1"/>
  <c r="N72" i="1" s="1"/>
  <c r="M13" i="1"/>
  <c r="N13" i="1" s="1"/>
  <c r="K13" i="1"/>
  <c r="G14" i="1" s="1"/>
  <c r="H14" i="1" s="1"/>
  <c r="K14" i="1" s="1"/>
  <c r="G15" i="1" s="1"/>
  <c r="H15" i="1" s="1"/>
  <c r="K15" i="1" s="1"/>
  <c r="G16" i="1" s="1"/>
  <c r="H16" i="1" s="1"/>
  <c r="K16" i="1" s="1"/>
  <c r="G17" i="1" s="1"/>
  <c r="H17" i="1" s="1"/>
  <c r="K17" i="1" s="1"/>
  <c r="G18" i="1" s="1"/>
  <c r="H18" i="1" s="1"/>
  <c r="K18" i="1" s="1"/>
  <c r="G19" i="1" s="1"/>
  <c r="H19" i="1" s="1"/>
  <c r="K19" i="1" s="1"/>
  <c r="G20" i="1" s="1"/>
  <c r="H20" i="1" s="1"/>
  <c r="K20" i="1" s="1"/>
  <c r="G21" i="1" s="1"/>
  <c r="H21" i="1" s="1"/>
  <c r="K21" i="1" s="1"/>
  <c r="G22" i="1" s="1"/>
  <c r="H22" i="1" s="1"/>
  <c r="K22" i="1" s="1"/>
  <c r="G23" i="1" s="1"/>
  <c r="H23" i="1" s="1"/>
  <c r="K23" i="1" s="1"/>
  <c r="G24" i="1" s="1"/>
  <c r="H24" i="1" s="1"/>
  <c r="K24" i="1" s="1"/>
  <c r="G25" i="1" s="1"/>
  <c r="H25" i="1" s="1"/>
  <c r="K25" i="1" s="1"/>
  <c r="G26" i="1" s="1"/>
  <c r="H26" i="1" s="1"/>
  <c r="K26" i="1" s="1"/>
  <c r="G27" i="1" s="1"/>
  <c r="H27" i="1" s="1"/>
  <c r="K27" i="1" s="1"/>
  <c r="G28" i="1" s="1"/>
  <c r="H28" i="1" s="1"/>
  <c r="K28" i="1" s="1"/>
  <c r="G29" i="1" s="1"/>
  <c r="H29" i="1" s="1"/>
  <c r="K29" i="1" s="1"/>
  <c r="G30" i="1" s="1"/>
  <c r="H30" i="1" s="1"/>
  <c r="K30" i="1" s="1"/>
  <c r="G31" i="1" s="1"/>
  <c r="H31" i="1" s="1"/>
  <c r="K31" i="1" s="1"/>
  <c r="G32" i="1" s="1"/>
  <c r="H32" i="1" s="1"/>
  <c r="K32" i="1" s="1"/>
  <c r="G33" i="1" s="1"/>
  <c r="H33" i="1" s="1"/>
  <c r="K33" i="1" s="1"/>
  <c r="G34" i="1" s="1"/>
  <c r="H34" i="1" s="1"/>
  <c r="K34" i="1" s="1"/>
  <c r="G35" i="1" s="1"/>
  <c r="H35" i="1" s="1"/>
  <c r="K35" i="1" s="1"/>
  <c r="G36" i="1" s="1"/>
  <c r="H36" i="1" s="1"/>
  <c r="K36" i="1" s="1"/>
  <c r="G37" i="1" s="1"/>
  <c r="H37" i="1" s="1"/>
  <c r="K37" i="1" s="1"/>
  <c r="G38" i="1" s="1"/>
  <c r="H38" i="1" s="1"/>
  <c r="K38" i="1" s="1"/>
  <c r="G39" i="1" s="1"/>
  <c r="H39" i="1" s="1"/>
  <c r="K39" i="1" s="1"/>
  <c r="G40" i="1" s="1"/>
  <c r="H40" i="1" s="1"/>
  <c r="K40" i="1" s="1"/>
  <c r="G41" i="1" s="1"/>
  <c r="H41" i="1" s="1"/>
  <c r="K41" i="1" s="1"/>
  <c r="G42" i="1" s="1"/>
  <c r="H42" i="1" s="1"/>
  <c r="K42" i="1" s="1"/>
  <c r="G43" i="1" s="1"/>
  <c r="H43" i="1" s="1"/>
  <c r="K43" i="1" s="1"/>
  <c r="G44" i="1" s="1"/>
  <c r="H44" i="1" s="1"/>
  <c r="K44" i="1" s="1"/>
  <c r="G45" i="1" s="1"/>
  <c r="H45" i="1" s="1"/>
  <c r="K45" i="1" s="1"/>
  <c r="G46" i="1" s="1"/>
  <c r="H46" i="1" s="1"/>
  <c r="K46" i="1" s="1"/>
  <c r="G47" i="1" s="1"/>
  <c r="H47" i="1" s="1"/>
  <c r="K47" i="1" s="1"/>
  <c r="G48" i="1" s="1"/>
  <c r="H48" i="1" s="1"/>
  <c r="K48" i="1" s="1"/>
  <c r="G49" i="1" s="1"/>
  <c r="H49" i="1" s="1"/>
  <c r="K49" i="1" s="1"/>
  <c r="G50" i="1" s="1"/>
  <c r="H50" i="1" s="1"/>
  <c r="K50" i="1" s="1"/>
  <c r="G51" i="1" s="1"/>
  <c r="H51" i="1" s="1"/>
  <c r="K51" i="1" s="1"/>
  <c r="G52" i="1" s="1"/>
  <c r="H52" i="1" s="1"/>
  <c r="K52" i="1" s="1"/>
  <c r="G53" i="1" s="1"/>
  <c r="H53" i="1" s="1"/>
  <c r="K53" i="1" s="1"/>
  <c r="G54" i="1" s="1"/>
  <c r="H54" i="1" s="1"/>
  <c r="K54" i="1" s="1"/>
  <c r="G55" i="1" s="1"/>
  <c r="H55" i="1" s="1"/>
  <c r="K55" i="1" s="1"/>
  <c r="G56" i="1" s="1"/>
  <c r="H56" i="1" s="1"/>
  <c r="K56" i="1" s="1"/>
  <c r="G57" i="1" s="1"/>
  <c r="H57" i="1" s="1"/>
  <c r="K57" i="1" s="1"/>
  <c r="G58" i="1" s="1"/>
  <c r="H58" i="1" s="1"/>
  <c r="K58" i="1" s="1"/>
  <c r="G59" i="1" s="1"/>
  <c r="H59" i="1" s="1"/>
  <c r="K59" i="1" s="1"/>
  <c r="G60" i="1" s="1"/>
  <c r="H60" i="1" s="1"/>
  <c r="K60" i="1" s="1"/>
  <c r="G61" i="1" s="1"/>
  <c r="H61" i="1" s="1"/>
  <c r="K61" i="1" s="1"/>
  <c r="G62" i="1" s="1"/>
  <c r="H62" i="1" s="1"/>
  <c r="K62" i="1" s="1"/>
  <c r="G63" i="1" s="1"/>
  <c r="H63" i="1" s="1"/>
  <c r="K63" i="1" s="1"/>
  <c r="G64" i="1" s="1"/>
  <c r="H64" i="1" s="1"/>
  <c r="K64" i="1" s="1"/>
  <c r="G65" i="1" s="1"/>
  <c r="H65" i="1" s="1"/>
  <c r="K65" i="1" s="1"/>
  <c r="G66" i="1" s="1"/>
  <c r="H66" i="1" s="1"/>
  <c r="K66" i="1" s="1"/>
  <c r="G67" i="1" s="1"/>
  <c r="H67" i="1" s="1"/>
  <c r="K67" i="1" s="1"/>
  <c r="G68" i="1" s="1"/>
  <c r="H68" i="1" s="1"/>
  <c r="K68" i="1" s="1"/>
  <c r="G69" i="1" s="1"/>
  <c r="H69" i="1" s="1"/>
  <c r="K69" i="1" s="1"/>
  <c r="G70" i="1" s="1"/>
  <c r="H70" i="1" s="1"/>
  <c r="K70" i="1" s="1"/>
  <c r="G71" i="1" s="1"/>
  <c r="H71" i="1" s="1"/>
  <c r="K71" i="1" s="1"/>
  <c r="G72" i="1" s="1"/>
  <c r="H72" i="1" s="1"/>
  <c r="K72" i="1" s="1"/>
</calcChain>
</file>

<file path=xl/sharedStrings.xml><?xml version="1.0" encoding="utf-8"?>
<sst xmlns="http://schemas.openxmlformats.org/spreadsheetml/2006/main" count="79" uniqueCount="79">
  <si>
    <t>Renda passiva mensal desejada</t>
  </si>
  <si>
    <t>Renda mensal atual</t>
  </si>
  <si>
    <t>Economia (%)</t>
  </si>
  <si>
    <t>Economia (R$)</t>
  </si>
  <si>
    <t>Rendimento da renda passiva (%)</t>
  </si>
  <si>
    <t>Rendimento das aplicações (%)</t>
  </si>
  <si>
    <t>META DE LONGO PRAZO</t>
  </si>
  <si>
    <t>Aporte Anual</t>
  </si>
  <si>
    <t>Rendimento Anual (%)</t>
  </si>
  <si>
    <t>Valor Final</t>
  </si>
  <si>
    <t>Renda Passiva Anual</t>
  </si>
  <si>
    <t>Renda Passiva Mensal</t>
  </si>
  <si>
    <t>ANO 1</t>
  </si>
  <si>
    <t>ANO 2</t>
  </si>
  <si>
    <t>ANO 3</t>
  </si>
  <si>
    <t>ANO 4</t>
  </si>
  <si>
    <t>ANO 5</t>
  </si>
  <si>
    <t>ANO 6</t>
  </si>
  <si>
    <t>ANO 7</t>
  </si>
  <si>
    <t>ANO 8</t>
  </si>
  <si>
    <t>ANO 9</t>
  </si>
  <si>
    <t>ANO 10</t>
  </si>
  <si>
    <t>ANO 11</t>
  </si>
  <si>
    <t>ANO 12</t>
  </si>
  <si>
    <t>ANO 13</t>
  </si>
  <si>
    <t>ANO 14</t>
  </si>
  <si>
    <t>ANO 15</t>
  </si>
  <si>
    <t>ANO 16</t>
  </si>
  <si>
    <t>ANO 17</t>
  </si>
  <si>
    <t>ANO 18</t>
  </si>
  <si>
    <t>ANO 19</t>
  </si>
  <si>
    <t>ANO 20</t>
  </si>
  <si>
    <t>ANO 21</t>
  </si>
  <si>
    <t>ANO 22</t>
  </si>
  <si>
    <t>ANO 23</t>
  </si>
  <si>
    <t>ANO 24</t>
  </si>
  <si>
    <t>ANO 25</t>
  </si>
  <si>
    <t>ANO 26</t>
  </si>
  <si>
    <t>ANO 27</t>
  </si>
  <si>
    <t>ANO 28</t>
  </si>
  <si>
    <t>ANO 29</t>
  </si>
  <si>
    <t>ANO 30</t>
  </si>
  <si>
    <t>ANO 31</t>
  </si>
  <si>
    <t>ANO 32</t>
  </si>
  <si>
    <t>ANO 33</t>
  </si>
  <si>
    <t>ANO 34</t>
  </si>
  <si>
    <t>ANO 35</t>
  </si>
  <si>
    <t>ANO 36</t>
  </si>
  <si>
    <t>ANO 37</t>
  </si>
  <si>
    <t>ANO 38</t>
  </si>
  <si>
    <t>ANO 39</t>
  </si>
  <si>
    <t>ANO 40</t>
  </si>
  <si>
    <t>ANO 41</t>
  </si>
  <si>
    <t>ANO 42</t>
  </si>
  <si>
    <t>ANO 43</t>
  </si>
  <si>
    <t>ANO 44</t>
  </si>
  <si>
    <t>ANO 45</t>
  </si>
  <si>
    <t>ANO 46</t>
  </si>
  <si>
    <t>ANO 47</t>
  </si>
  <si>
    <t>ANO 48</t>
  </si>
  <si>
    <t>ANO 49</t>
  </si>
  <si>
    <t>ANO 50</t>
  </si>
  <si>
    <t>ANO 51</t>
  </si>
  <si>
    <t>ANO 52</t>
  </si>
  <si>
    <t>ANO 53</t>
  </si>
  <si>
    <t>ANO 54</t>
  </si>
  <si>
    <t>ANO 55</t>
  </si>
  <si>
    <t>ANO 56</t>
  </si>
  <si>
    <t>ANO 57</t>
  </si>
  <si>
    <t>ANO 58</t>
  </si>
  <si>
    <t>ANO 59</t>
  </si>
  <si>
    <t>ANO 60</t>
  </si>
  <si>
    <t>Capital + Reinvestimento</t>
  </si>
  <si>
    <t>Capital acumulado</t>
  </si>
  <si>
    <t>Rendimento do Ano Anterior</t>
  </si>
  <si>
    <t>Capital inicial</t>
  </si>
  <si>
    <t>Ganhos</t>
  </si>
  <si>
    <t>S/Juros Compostos</t>
  </si>
  <si>
    <t>C/Juros Compostos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</si>
</sst>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_-&quot;R$&quot;* #,##0.00_-;\-&quot;R$&quot;* #,##0.00_-;_-&quot;R$&quot;* &quot;-&quot;??_-;_-@_-"/>
    <numFmt numFmtId="165" formatCode="[$R$ -416]#,##0.00"/>
    <numFmt numFmtId="166" formatCode="&quot;R$&quot;#,##0.00"/>
  </numFmts>
  <fonts count="8" x14ac:knownFonts="1">
    <font>
      <sz val="10"/>
      <color rgb="FF000000"/>
      <name val="Arial"/>
      <scheme val="minor"/>
    </font>
    <font>
      <sz val="8"/>
      <name val="Arial"/>
      <family val="2"/>
      <scheme val="minor"/>
    </font>
    <font>
      <sz val="10"/>
      <color theme="2"/>
      <name val="Arial"/>
      <family val="2"/>
      <scheme val="minor"/>
    </font>
    <font>
      <b/>
      <sz val="10"/>
      <color theme="2"/>
      <name val="Arial"/>
      <family val="2"/>
      <scheme val="minor"/>
    </font>
    <font>
      <b/>
      <sz val="10"/>
      <color theme="3"/>
      <name val="Arial"/>
      <family val="2"/>
      <scheme val="minor"/>
    </font>
    <font>
      <sz val="10"/>
      <color theme="0"/>
      <name val="Arial"/>
      <family val="2"/>
      <scheme val="minor"/>
    </font>
    <font>
      <sz val="10"/>
      <color rgb="FF000000"/>
      <name val="Arial"/>
      <scheme val="minor"/>
    </font>
    <font>
      <b/>
      <sz val="10"/>
      <color theme="1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theme="3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/>
        <bgColor rgb="FFFFFF00"/>
      </patternFill>
    </fill>
    <fill>
      <patternFill patternType="solid">
        <fgColor theme="8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4"/>
        <bgColor indexed="64"/>
      </patternFill>
    </fill>
  </fills>
  <borders count="25">
    <border>
      <left/>
      <right/>
      <top/>
      <bottom/>
      <diagonal/>
    </border>
    <border>
      <left style="medium">
        <color theme="6"/>
      </left>
      <right style="thin">
        <color rgb="FF000000"/>
      </right>
      <top style="medium">
        <color theme="6"/>
      </top>
      <bottom style="thin">
        <color rgb="FF000000"/>
      </bottom>
      <diagonal/>
    </border>
    <border>
      <left style="thin">
        <color rgb="FF000000"/>
      </left>
      <right style="medium">
        <color theme="6"/>
      </right>
      <top style="medium">
        <color theme="6"/>
      </top>
      <bottom style="thin">
        <color rgb="FF000000"/>
      </bottom>
      <diagonal/>
    </border>
    <border>
      <left style="medium">
        <color theme="6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theme="6"/>
      </right>
      <top style="thin">
        <color rgb="FF000000"/>
      </top>
      <bottom style="thin">
        <color rgb="FF000000"/>
      </bottom>
      <diagonal/>
    </border>
    <border>
      <left style="medium">
        <color theme="6"/>
      </left>
      <right style="thin">
        <color rgb="FF000000"/>
      </right>
      <top style="thin">
        <color rgb="FF000000"/>
      </top>
      <bottom style="medium">
        <color theme="6"/>
      </bottom>
      <diagonal/>
    </border>
    <border>
      <left style="thin">
        <color rgb="FF000000"/>
      </left>
      <right style="medium">
        <color theme="6"/>
      </right>
      <top style="thin">
        <color rgb="FF000000"/>
      </top>
      <bottom style="medium">
        <color theme="6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theme="6"/>
      </left>
      <right style="thin">
        <color theme="6"/>
      </right>
      <top style="thin">
        <color theme="6"/>
      </top>
      <bottom style="thin">
        <color theme="6"/>
      </bottom>
      <diagonal/>
    </border>
    <border>
      <left/>
      <right/>
      <top style="medium">
        <color theme="6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medium">
        <color theme="6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theme="1"/>
      </right>
      <top/>
      <bottom/>
      <diagonal/>
    </border>
    <border>
      <left/>
      <right style="thin">
        <color theme="1"/>
      </right>
      <top/>
      <bottom style="thin">
        <color theme="6"/>
      </bottom>
      <diagonal/>
    </border>
    <border>
      <left style="thin">
        <color theme="1"/>
      </left>
      <right style="thin">
        <color theme="1"/>
      </right>
      <top/>
      <bottom style="thin">
        <color theme="6"/>
      </bottom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thin">
        <color theme="6"/>
      </left>
      <right/>
      <top style="thin">
        <color theme="6"/>
      </top>
      <bottom style="thin">
        <color theme="6"/>
      </bottom>
      <diagonal/>
    </border>
    <border>
      <left/>
      <right style="thin">
        <color theme="6"/>
      </right>
      <top style="thin">
        <color theme="6"/>
      </top>
      <bottom style="thin">
        <color theme="6"/>
      </bottom>
      <diagonal/>
    </border>
    <border>
      <left/>
      <right style="thin">
        <color theme="1"/>
      </right>
      <top style="thin">
        <color theme="6"/>
      </top>
      <bottom/>
      <diagonal/>
    </border>
    <border>
      <left style="medium">
        <color theme="6"/>
      </left>
      <right style="thin">
        <color rgb="FF000000"/>
      </right>
      <top/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medium">
        <color theme="6"/>
      </right>
      <top/>
      <bottom style="thin">
        <color rgb="FF000000"/>
      </bottom>
      <diagonal/>
    </border>
    <border>
      <left/>
      <right/>
      <top/>
      <bottom style="thin">
        <color theme="6"/>
      </bottom>
      <diagonal/>
    </border>
    <border>
      <left style="thin">
        <color rgb="FF000000"/>
      </left>
      <right style="thin">
        <color rgb="FF000000"/>
      </right>
      <top/>
      <bottom/>
      <diagonal/>
    </border>
  </borders>
  <cellStyleXfs count="2">
    <xf numFmtId="0" fontId="0" fillId="0" borderId="0"/>
    <xf numFmtId="164" fontId="6" fillId="0" borderId="0" applyFont="0" applyFill="0" applyBorder="0" applyAlignment="0" applyProtection="0"/>
  </cellStyleXfs>
  <cellXfs count="51">
    <xf numFmtId="0" fontId="0" fillId="0" borderId="0" xfId="0" applyFont="1" applyAlignment="1"/>
    <xf numFmtId="0" fontId="2" fillId="2" borderId="0" xfId="0" applyFont="1" applyFill="1" applyAlignment="1"/>
    <xf numFmtId="165" fontId="2" fillId="2" borderId="0" xfId="0" applyNumberFormat="1" applyFont="1" applyFill="1"/>
    <xf numFmtId="0" fontId="2" fillId="2" borderId="0" xfId="0" applyFont="1" applyFill="1" applyBorder="1" applyAlignment="1"/>
    <xf numFmtId="0" fontId="5" fillId="2" borderId="0" xfId="0" applyFont="1" applyFill="1" applyAlignment="1"/>
    <xf numFmtId="164" fontId="2" fillId="2" borderId="0" xfId="1" applyFont="1" applyFill="1" applyBorder="1" applyAlignment="1"/>
    <xf numFmtId="164" fontId="2" fillId="2" borderId="0" xfId="1" applyFont="1" applyFill="1" applyAlignment="1"/>
    <xf numFmtId="0" fontId="3" fillId="2" borderId="0" xfId="0" applyFont="1" applyFill="1" applyBorder="1" applyAlignment="1"/>
    <xf numFmtId="0" fontId="3" fillId="2" borderId="0" xfId="0" applyFont="1" applyFill="1" applyAlignment="1"/>
    <xf numFmtId="165" fontId="3" fillId="3" borderId="2" xfId="0" applyNumberFormat="1" applyFont="1" applyFill="1" applyBorder="1" applyAlignment="1" applyProtection="1">
      <protection locked="0"/>
    </xf>
    <xf numFmtId="0" fontId="2" fillId="2" borderId="0" xfId="0" applyFont="1" applyFill="1" applyAlignment="1" applyProtection="1">
      <protection locked="0"/>
    </xf>
    <xf numFmtId="0" fontId="3" fillId="2" borderId="0" xfId="0" applyFont="1" applyFill="1" applyAlignment="1" applyProtection="1">
      <protection locked="0"/>
    </xf>
    <xf numFmtId="165" fontId="3" fillId="3" borderId="22" xfId="0" applyNumberFormat="1" applyFont="1" applyFill="1" applyBorder="1" applyAlignment="1" applyProtection="1">
      <protection locked="0"/>
    </xf>
    <xf numFmtId="165" fontId="3" fillId="3" borderId="4" xfId="0" applyNumberFormat="1" applyFont="1" applyFill="1" applyBorder="1" applyAlignment="1" applyProtection="1">
      <protection locked="0"/>
    </xf>
    <xf numFmtId="165" fontId="3" fillId="3" borderId="4" xfId="0" applyNumberFormat="1" applyFont="1" applyFill="1" applyBorder="1" applyProtection="1">
      <protection locked="0"/>
    </xf>
    <xf numFmtId="9" fontId="3" fillId="3" borderId="4" xfId="0" applyNumberFormat="1" applyFont="1" applyFill="1" applyBorder="1" applyAlignment="1" applyProtection="1">
      <protection locked="0"/>
    </xf>
    <xf numFmtId="165" fontId="2" fillId="2" borderId="0" xfId="0" applyNumberFormat="1" applyFont="1" applyFill="1" applyProtection="1">
      <protection locked="0"/>
    </xf>
    <xf numFmtId="0" fontId="2" fillId="2" borderId="0" xfId="0" applyFont="1" applyFill="1" applyAlignment="1" applyProtection="1"/>
    <xf numFmtId="0" fontId="3" fillId="2" borderId="0" xfId="0" applyFont="1" applyFill="1" applyAlignment="1" applyProtection="1"/>
    <xf numFmtId="0" fontId="3" fillId="2" borderId="9" xfId="0" applyFont="1" applyFill="1" applyBorder="1" applyAlignment="1" applyProtection="1"/>
    <xf numFmtId="164" fontId="2" fillId="2" borderId="0" xfId="1" applyFont="1" applyFill="1" applyAlignment="1" applyProtection="1"/>
    <xf numFmtId="0" fontId="3" fillId="2" borderId="21" xfId="0" applyFont="1" applyFill="1" applyBorder="1" applyAlignment="1" applyProtection="1"/>
    <xf numFmtId="0" fontId="3" fillId="2" borderId="10" xfId="0" applyFont="1" applyFill="1" applyBorder="1" applyAlignment="1" applyProtection="1"/>
    <xf numFmtId="0" fontId="2" fillId="2" borderId="13" xfId="0" applyFont="1" applyFill="1" applyBorder="1" applyAlignment="1" applyProtection="1"/>
    <xf numFmtId="0" fontId="3" fillId="2" borderId="11" xfId="0" applyFont="1" applyFill="1" applyBorder="1" applyAlignment="1" applyProtection="1"/>
    <xf numFmtId="9" fontId="3" fillId="2" borderId="4" xfId="0" applyNumberFormat="1" applyFont="1" applyFill="1" applyBorder="1" applyAlignment="1" applyProtection="1"/>
    <xf numFmtId="165" fontId="3" fillId="2" borderId="6" xfId="0" applyNumberFormat="1" applyFont="1" applyFill="1" applyBorder="1" applyProtection="1"/>
    <xf numFmtId="0" fontId="7" fillId="3" borderId="19" xfId="0" applyFont="1" applyFill="1" applyBorder="1" applyAlignment="1" applyProtection="1"/>
    <xf numFmtId="0" fontId="7" fillId="3" borderId="14" xfId="0" applyFont="1" applyFill="1" applyBorder="1" applyAlignment="1" applyProtection="1"/>
    <xf numFmtId="0" fontId="7" fillId="3" borderId="15" xfId="0" applyFont="1" applyFill="1" applyBorder="1" applyAlignment="1" applyProtection="1"/>
    <xf numFmtId="165" fontId="4" fillId="4" borderId="12" xfId="0" applyNumberFormat="1" applyFont="1" applyFill="1" applyBorder="1" applyAlignment="1" applyProtection="1"/>
    <xf numFmtId="0" fontId="4" fillId="4" borderId="7" xfId="0" applyFont="1" applyFill="1" applyBorder="1" applyAlignment="1" applyProtection="1"/>
    <xf numFmtId="164" fontId="4" fillId="4" borderId="24" xfId="1" applyFont="1" applyFill="1" applyBorder="1" applyAlignment="1" applyProtection="1"/>
    <xf numFmtId="0" fontId="3" fillId="2" borderId="8" xfId="0" applyFont="1" applyFill="1" applyBorder="1" applyAlignment="1" applyProtection="1"/>
    <xf numFmtId="0" fontId="2" fillId="2" borderId="8" xfId="0" applyFont="1" applyFill="1" applyBorder="1" applyAlignment="1" applyProtection="1"/>
    <xf numFmtId="166" fontId="5" fillId="6" borderId="8" xfId="0" applyNumberFormat="1" applyFont="1" applyFill="1" applyBorder="1" applyAlignment="1" applyProtection="1"/>
    <xf numFmtId="166" fontId="2" fillId="2" borderId="18" xfId="0" applyNumberFormat="1" applyFont="1" applyFill="1" applyBorder="1" applyAlignment="1" applyProtection="1"/>
    <xf numFmtId="166" fontId="2" fillId="2" borderId="8" xfId="0" applyNumberFormat="1" applyFont="1" applyFill="1" applyBorder="1" applyAlignment="1" applyProtection="1"/>
    <xf numFmtId="165" fontId="2" fillId="2" borderId="8" xfId="0" applyNumberFormat="1" applyFont="1" applyFill="1" applyBorder="1" applyProtection="1"/>
    <xf numFmtId="9" fontId="2" fillId="2" borderId="8" xfId="0" applyNumberFormat="1" applyFont="1" applyFill="1" applyBorder="1" applyProtection="1"/>
    <xf numFmtId="164" fontId="2" fillId="7" borderId="8" xfId="1" applyFont="1" applyFill="1" applyBorder="1" applyProtection="1"/>
    <xf numFmtId="164" fontId="2" fillId="8" borderId="8" xfId="1" applyFont="1" applyFill="1" applyBorder="1" applyProtection="1"/>
    <xf numFmtId="165" fontId="2" fillId="2" borderId="17" xfId="0" applyNumberFormat="1" applyFont="1" applyFill="1" applyBorder="1" applyProtection="1"/>
    <xf numFmtId="165" fontId="3" fillId="5" borderId="16" xfId="0" applyNumberFormat="1" applyFont="1" applyFill="1" applyBorder="1" applyProtection="1"/>
    <xf numFmtId="0" fontId="3" fillId="2" borderId="1" xfId="0" applyFont="1" applyFill="1" applyBorder="1" applyAlignment="1" applyProtection="1"/>
    <xf numFmtId="0" fontId="3" fillId="2" borderId="20" xfId="0" applyFont="1" applyFill="1" applyBorder="1" applyAlignment="1" applyProtection="1"/>
    <xf numFmtId="0" fontId="3" fillId="2" borderId="3" xfId="0" applyFont="1" applyFill="1" applyBorder="1" applyAlignment="1" applyProtection="1"/>
    <xf numFmtId="0" fontId="3" fillId="2" borderId="5" xfId="0" applyFont="1" applyFill="1" applyBorder="1" applyAlignment="1" applyProtection="1"/>
    <xf numFmtId="0" fontId="2" fillId="3" borderId="23" xfId="0" applyFont="1" applyFill="1" applyBorder="1" applyAlignment="1" applyProtection="1">
      <alignment horizontal="center"/>
    </xf>
    <xf numFmtId="0" fontId="2" fillId="3" borderId="14" xfId="0" applyFont="1" applyFill="1" applyBorder="1" applyAlignment="1" applyProtection="1">
      <alignment horizontal="center"/>
    </xf>
    <xf numFmtId="0" fontId="3" fillId="2" borderId="8" xfId="0" applyFont="1" applyFill="1" applyBorder="1" applyAlignment="1" applyProtection="1">
      <alignment horizontal="center"/>
      <protection locked="0"/>
    </xf>
  </cellXfs>
  <cellStyles count="2">
    <cellStyle name="Moeda" xfId="1" builtinId="4"/>
    <cellStyle name="Normal" xfId="0" builtinId="0"/>
  </cellStyles>
  <dxfs count="1">
    <dxf>
      <font>
        <b/>
        <i val="0"/>
      </font>
      <fill>
        <patternFill>
          <bgColor rgb="FF00B050"/>
        </patternFill>
      </fill>
      <border>
        <left style="thin">
          <color auto="1"/>
        </left>
        <right style="thin">
          <color auto="1"/>
        </right>
        <top style="thin">
          <color auto="1"/>
        </top>
        <bottom style="thin">
          <color auto="1"/>
        </bottom>
        <vertical/>
        <horizontal/>
      </border>
    </dxf>
  </dxfs>
  <tableStyles count="0" defaultTableStyle="TableStyleMedium2" defaultPivotStyle="PivotStyleLight16"/>
  <colors>
    <mruColors>
      <color rgb="FF2E60B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7"/>
    </mc:Choice>
    <mc:Fallback>
      <c:style val="7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pt-BR"/>
              <a:t>RENDA</a:t>
            </a:r>
            <a:r>
              <a:rPr lang="pt-BR" baseline="0"/>
              <a:t> PASSIVA MENSAL EM ATÉ 60 ANOS DE INVESTIMENTOS</a:t>
            </a:r>
            <a:endParaRPr lang="pt-BR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view3D>
      <c:rotX val="90"/>
      <c:rotY val="250"/>
      <c:depthPercent val="19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 w="57150">
          <a:noFill/>
        </a:ln>
        <a:effectLst/>
        <a:sp3d/>
      </c:spPr>
    </c:sideWall>
    <c:backWall>
      <c:thickness val="0"/>
      <c:spPr>
        <a:noFill/>
        <a:ln w="57150">
          <a:noFill/>
        </a:ln>
        <a:effectLst/>
        <a:sp3d/>
      </c:spPr>
    </c:backWall>
    <c:plotArea>
      <c:layout/>
      <c:bar3DChart>
        <c:barDir val="col"/>
        <c:grouping val="clustered"/>
        <c:varyColors val="0"/>
        <c:ser>
          <c:idx val="0"/>
          <c:order val="0"/>
          <c:spPr>
            <a:gradFill rotWithShape="1">
              <a:gsLst>
                <a:gs pos="0">
                  <a:schemeClr val="accent5">
                    <a:satMod val="103000"/>
                    <a:lumMod val="102000"/>
                    <a:tint val="94000"/>
                  </a:schemeClr>
                </a:gs>
                <a:gs pos="50000">
                  <a:schemeClr val="accent5">
                    <a:satMod val="110000"/>
                    <a:lumMod val="100000"/>
                    <a:shade val="100000"/>
                  </a:schemeClr>
                </a:gs>
                <a:gs pos="100000">
                  <a:schemeClr val="accent5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  <a:sp3d/>
          </c:spPr>
          <c:invertIfNegative val="0"/>
          <c:val>
            <c:numRef>
              <c:f>'DEFINIR META'!$N$13:$N$72</c:f>
              <c:numCache>
                <c:formatCode>[$R$ -416]#,##0.00</c:formatCode>
                <c:ptCount val="60"/>
                <c:pt idx="0">
                  <c:v>2556.8760724448489</c:v>
                </c:pt>
                <c:pt idx="1">
                  <c:v>3580.6168890897588</c:v>
                </c:pt>
                <c:pt idx="2">
                  <c:v>4757.918828231408</c:v>
                </c:pt>
                <c:pt idx="3">
                  <c:v>6111.8160582443043</c:v>
                </c:pt>
                <c:pt idx="4">
                  <c:v>7668.7978727591399</c:v>
                </c:pt>
                <c:pt idx="5">
                  <c:v>9459.3269594512003</c:v>
                </c:pt>
                <c:pt idx="6">
                  <c:v>11518.435409147072</c:v>
                </c:pt>
                <c:pt idx="7">
                  <c:v>13886.410126297333</c:v>
                </c:pt>
                <c:pt idx="8">
                  <c:v>16609.58105102013</c:v>
                </c:pt>
                <c:pt idx="9">
                  <c:v>19741.227614451353</c:v>
                </c:pt>
                <c:pt idx="10">
                  <c:v>23342.621162397263</c:v>
                </c:pt>
                <c:pt idx="11">
                  <c:v>27484.223742535061</c:v>
                </c:pt>
                <c:pt idx="12">
                  <c:v>32247.066709693539</c:v>
                </c:pt>
                <c:pt idx="13">
                  <c:v>37724.3361219258</c:v>
                </c:pt>
                <c:pt idx="14">
                  <c:v>44023.195945992898</c:v>
                </c:pt>
                <c:pt idx="15">
                  <c:v>51266.884743670082</c:v>
                </c:pt>
                <c:pt idx="16">
                  <c:v>59597.12686099884</c:v>
                </c:pt>
                <c:pt idx="17">
                  <c:v>69176.905295926947</c:v>
                </c:pt>
                <c:pt idx="18">
                  <c:v>80193.65049609424</c:v>
                </c:pt>
                <c:pt idx="19">
                  <c:v>92862.907476286695</c:v>
                </c:pt>
                <c:pt idx="20">
                  <c:v>107432.55300350802</c:v>
                </c:pt>
                <c:pt idx="21">
                  <c:v>124187.64535981254</c:v>
                </c:pt>
                <c:pt idx="22">
                  <c:v>143456.0015695628</c:v>
                </c:pt>
                <c:pt idx="23">
                  <c:v>165614.61121077556</c:v>
                </c:pt>
                <c:pt idx="24">
                  <c:v>191097.01229817033</c:v>
                </c:pt>
                <c:pt idx="25">
                  <c:v>220401.77354867433</c:v>
                </c:pt>
                <c:pt idx="26">
                  <c:v>254102.24898675396</c:v>
                </c:pt>
                <c:pt idx="27">
                  <c:v>292857.79574054561</c:v>
                </c:pt>
                <c:pt idx="28">
                  <c:v>337426.67450740607</c:v>
                </c:pt>
                <c:pt idx="29">
                  <c:v>388680.88508929563</c:v>
                </c:pt>
                <c:pt idx="30">
                  <c:v>447623.22725846869</c:v>
                </c:pt>
                <c:pt idx="31">
                  <c:v>515406.92075301782</c:v>
                </c:pt>
                <c:pt idx="32">
                  <c:v>593358.16827174951</c:v>
                </c:pt>
                <c:pt idx="33">
                  <c:v>683002.10291829088</c:v>
                </c:pt>
                <c:pt idx="34">
                  <c:v>786092.6277618137</c:v>
                </c:pt>
                <c:pt idx="35">
                  <c:v>904646.73133186495</c:v>
                </c:pt>
                <c:pt idx="36">
                  <c:v>1040983.9504374242</c:v>
                </c:pt>
                <c:pt idx="37">
                  <c:v>1197771.7524088174</c:v>
                </c:pt>
                <c:pt idx="38">
                  <c:v>1378077.7246759201</c:v>
                </c:pt>
                <c:pt idx="39">
                  <c:v>1585429.5927830881</c:v>
                </c:pt>
                <c:pt idx="40">
                  <c:v>1823884.2411063323</c:v>
                </c:pt>
                <c:pt idx="41">
                  <c:v>2098107.0866780626</c:v>
                </c:pt>
                <c:pt idx="42">
                  <c:v>2413463.3590855524</c:v>
                </c:pt>
                <c:pt idx="43">
                  <c:v>2776123.0723541672</c:v>
                </c:pt>
                <c:pt idx="44">
                  <c:v>3193181.7426130739</c:v>
                </c:pt>
                <c:pt idx="45">
                  <c:v>3672799.2134108194</c:v>
                </c:pt>
                <c:pt idx="46">
                  <c:v>4224359.3048282247</c:v>
                </c:pt>
                <c:pt idx="47">
                  <c:v>4858653.4099582434</c:v>
                </c:pt>
                <c:pt idx="48">
                  <c:v>5588091.6308577638</c:v>
                </c:pt>
                <c:pt idx="49">
                  <c:v>6426945.5848922161</c:v>
                </c:pt>
                <c:pt idx="50">
                  <c:v>7391627.6320318356</c:v>
                </c:pt>
                <c:pt idx="51">
                  <c:v>8501011.9862424005</c:v>
                </c:pt>
                <c:pt idx="52">
                  <c:v>9776803.9935845491</c:v>
                </c:pt>
                <c:pt idx="53">
                  <c:v>11243964.802028023</c:v>
                </c:pt>
                <c:pt idx="54">
                  <c:v>12931199.731738023</c:v>
                </c:pt>
                <c:pt idx="55">
                  <c:v>14871519.900904521</c:v>
                </c:pt>
                <c:pt idx="56">
                  <c:v>17102888.095446002</c:v>
                </c:pt>
                <c:pt idx="57">
                  <c:v>19668961.519168705</c:v>
                </c:pt>
                <c:pt idx="58">
                  <c:v>22619945.956449818</c:v>
                </c:pt>
                <c:pt idx="59">
                  <c:v>26013578.059323091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9EEA-48FD-87B4-A96689A7836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12181960"/>
        <c:axId val="512182944"/>
        <c:axId val="0"/>
      </c:bar3DChart>
      <c:catAx>
        <c:axId val="5121819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900" b="1" i="0" u="none" strike="noStrike" kern="1200" cap="all" baseline="0">
                    <a:solidFill>
                      <a:schemeClr val="accent3"/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pt-BR">
                    <a:solidFill>
                      <a:schemeClr val="accent3"/>
                    </a:solidFill>
                  </a:rPr>
                  <a:t>anos investindo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1" i="0" u="none" strike="noStrike" kern="1200" cap="all" baseline="0">
                  <a:solidFill>
                    <a:schemeClr val="accent3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82944"/>
        <c:crosses val="autoZero"/>
        <c:auto val="1"/>
        <c:lblAlgn val="ctr"/>
        <c:lblOffset val="100"/>
        <c:noMultiLvlLbl val="0"/>
      </c:catAx>
      <c:valAx>
        <c:axId val="51218294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dk1">
                  <a:lumMod val="50000"/>
                  <a:lumOff val="50000"/>
                </a:schemeClr>
              </a:solidFill>
              <a:round/>
            </a:ln>
            <a:effectLst/>
          </c:spPr>
        </c:majorGridlines>
        <c:numFmt formatCode="[$R$ -416]#,##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1218196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 w="76200">
      <a:solidFill>
        <a:schemeClr val="accent3"/>
      </a:solidFill>
    </a:ln>
    <a:effectLst/>
  </c:spPr>
  <c:txPr>
    <a:bodyPr/>
    <a:lstStyle/>
    <a:p>
      <a:pPr>
        <a:defRPr/>
      </a:pPr>
      <a:endParaRPr lang="en-US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8">
  <a:schemeClr val="accent5"/>
</cs:colorStyle>
</file>

<file path=xl/charts/style1.xml><?xml version="1.0" encoding="utf-8"?>
<cs:chartStyle xmlns:cs="http://schemas.microsoft.com/office/drawing/2012/chartStyle" xmlns:a="http://schemas.openxmlformats.org/drawingml/2006/main" id="294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/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dk1">
            <a:lumMod val="50000"/>
            <a:lumOff val="5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dk1">
            <a:lumMod val="60000"/>
            <a:lumOff val="40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/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hyperlink" Target="http://commons.wikimedia.org/wiki/File:Instagram_icon.png" TargetMode="External"/><Relationship Id="rId3" Type="http://schemas.openxmlformats.org/officeDocument/2006/relationships/hyperlink" Target="https://www.youtube.com/channel/UC6pkw1C4ha1cmU9aDJ8OxUw" TargetMode="External"/><Relationship Id="rId7" Type="http://schemas.openxmlformats.org/officeDocument/2006/relationships/image" Target="../media/image3.png"/><Relationship Id="rId2" Type="http://schemas.openxmlformats.org/officeDocument/2006/relationships/hyperlink" Target="#GR&#193;FICOS!A1"/><Relationship Id="rId1" Type="http://schemas.openxmlformats.org/officeDocument/2006/relationships/image" Target="../media/image1.png"/><Relationship Id="rId6" Type="http://schemas.openxmlformats.org/officeDocument/2006/relationships/hyperlink" Target="https://bit.ly/3b5G9xP" TargetMode="External"/><Relationship Id="rId5" Type="http://schemas.openxmlformats.org/officeDocument/2006/relationships/hyperlink" Target="https://freepngimg.com/png/77758-logo-live-computer-youtube-icons-png-download-free" TargetMode="External"/><Relationship Id="rId4" Type="http://schemas.openxmlformats.org/officeDocument/2006/relationships/image" Target="../media/image2.png"/><Relationship Id="rId9" Type="http://schemas.openxmlformats.org/officeDocument/2006/relationships/image" Target="../media/image4.png"/></Relationships>
</file>

<file path=xl/drawings/_rels/drawing2.xml.rels><?xml version="1.0" encoding="UTF-8" standalone="yes"?>
<Relationships xmlns="http://schemas.openxmlformats.org/package/2006/relationships"><Relationship Id="rId3" Type="http://schemas.openxmlformats.org/officeDocument/2006/relationships/image" Target="../media/image4.png"/><Relationship Id="rId2" Type="http://schemas.openxmlformats.org/officeDocument/2006/relationships/hyperlink" Target="#'DEFINIR META'!A1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89646</xdr:colOff>
      <xdr:row>13</xdr:row>
      <xdr:rowOff>118441</xdr:rowOff>
    </xdr:from>
    <xdr:to>
      <xdr:col>1</xdr:col>
      <xdr:colOff>1837765</xdr:colOff>
      <xdr:row>34</xdr:row>
      <xdr:rowOff>7470</xdr:rowOff>
    </xdr:to>
    <xdr:pic>
      <xdr:nvPicPr>
        <xdr:cNvPr id="4" name="Imagem 3">
          <a:extLst>
            <a:ext uri="{FF2B5EF4-FFF2-40B4-BE49-F238E27FC236}">
              <a16:creationId xmlns:a16="http://schemas.microsoft.com/office/drawing/2014/main" id="{53393160-BE29-54DA-341A-96B07A25E830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27554" r="35344" b="10173"/>
        <a:stretch/>
      </xdr:blipFill>
      <xdr:spPr>
        <a:xfrm>
          <a:off x="224117" y="2897500"/>
          <a:ext cx="1748119" cy="3340441"/>
        </a:xfrm>
        <a:prstGeom prst="rect">
          <a:avLst/>
        </a:prstGeom>
      </xdr:spPr>
    </xdr:pic>
    <xdr:clientData/>
  </xdr:twoCellAnchor>
  <xdr:twoCellAnchor>
    <xdr:from>
      <xdr:col>5</xdr:col>
      <xdr:colOff>242048</xdr:colOff>
      <xdr:row>4</xdr:row>
      <xdr:rowOff>59278</xdr:rowOff>
    </xdr:from>
    <xdr:to>
      <xdr:col>11</xdr:col>
      <xdr:colOff>648297</xdr:colOff>
      <xdr:row>8</xdr:row>
      <xdr:rowOff>51503</xdr:rowOff>
    </xdr:to>
    <xdr:grpSp>
      <xdr:nvGrpSpPr>
        <xdr:cNvPr id="10" name="Agrupar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DC39FE3-2BD0-4A6C-6E5E-092BC501B1D9}"/>
            </a:ext>
          </a:extLst>
        </xdr:cNvPr>
        <xdr:cNvGrpSpPr/>
      </xdr:nvGrpSpPr>
      <xdr:grpSpPr>
        <a:xfrm>
          <a:off x="3648636" y="1351690"/>
          <a:ext cx="1631426" cy="649637"/>
          <a:chOff x="3642360" y="1333500"/>
          <a:chExt cx="1653540" cy="706245"/>
        </a:xfrm>
      </xdr:grpSpPr>
      <xdr:sp macro="" textlink="">
        <xdr:nvSpPr>
          <xdr:cNvPr id="8" name="Retângulo: Cantos Arredondados 7">
            <a:extLst>
              <a:ext uri="{FF2B5EF4-FFF2-40B4-BE49-F238E27FC236}">
                <a16:creationId xmlns:a16="http://schemas.microsoft.com/office/drawing/2014/main" id="{D05F3161-9F94-6C83-CF35-F06B613F805C}"/>
              </a:ext>
            </a:extLst>
          </xdr:cNvPr>
          <xdr:cNvSpPr/>
        </xdr:nvSpPr>
        <xdr:spPr>
          <a:xfrm>
            <a:off x="3642360" y="1333500"/>
            <a:ext cx="1653540" cy="441960"/>
          </a:xfrm>
          <a:prstGeom prst="roundRect">
            <a:avLst>
              <a:gd name="adj" fmla="val 50000"/>
            </a:avLst>
          </a:prstGeom>
          <a:solidFill>
            <a:schemeClr val="tx2"/>
          </a:solidFill>
          <a:ln>
            <a:solidFill>
              <a:schemeClr val="accent3"/>
            </a:solidFill>
          </a:ln>
        </xdr:spPr>
        <xdr:style>
          <a:lnRef idx="2">
            <a:schemeClr val="accent1">
              <a:shade val="50000"/>
            </a:schemeClr>
          </a:lnRef>
          <a:fillRef idx="1">
            <a:schemeClr val="accent1"/>
          </a:fillRef>
          <a:effectRef idx="0">
            <a:schemeClr val="accent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9" name="Retângulo 8">
            <a:extLst>
              <a:ext uri="{FF2B5EF4-FFF2-40B4-BE49-F238E27FC236}">
                <a16:creationId xmlns:a16="http://schemas.microsoft.com/office/drawing/2014/main" id="{0E4D14B0-881F-F38C-7058-E7F2CFFCDD4A}"/>
              </a:ext>
            </a:extLst>
          </xdr:cNvPr>
          <xdr:cNvSpPr/>
        </xdr:nvSpPr>
        <xdr:spPr>
          <a:xfrm>
            <a:off x="3865544" y="1365427"/>
            <a:ext cx="1245277" cy="674318"/>
          </a:xfrm>
          <a:prstGeom prst="rect">
            <a:avLst/>
          </a:prstGeom>
          <a:noFill/>
        </xdr:spPr>
        <xdr:txBody>
          <a:bodyPr wrap="none" lIns="91440" tIns="45720" rIns="91440" bIns="45720">
            <a:noAutofit/>
          </a:bodyPr>
          <a:lstStyle/>
          <a:p>
            <a:pPr algn="ctr"/>
            <a:r>
              <a:rPr lang="pt-BR" sz="1600" b="0" cap="none" spc="0">
                <a:ln w="0"/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rPr>
              <a:t>ver gráfico</a:t>
            </a:r>
          </a:p>
        </xdr:txBody>
      </xdr:sp>
    </xdr:grpSp>
    <xdr:clientData/>
  </xdr:twoCellAnchor>
  <xdr:twoCellAnchor editAs="oneCell">
    <xdr:from>
      <xdr:col>13</xdr:col>
      <xdr:colOff>764491</xdr:colOff>
      <xdr:row>3</xdr:row>
      <xdr:rowOff>35362</xdr:rowOff>
    </xdr:from>
    <xdr:to>
      <xdr:col>13</xdr:col>
      <xdr:colOff>1337732</xdr:colOff>
      <xdr:row>6</xdr:row>
      <xdr:rowOff>115544</xdr:rowOff>
    </xdr:to>
    <xdr:pic>
      <xdr:nvPicPr>
        <xdr:cNvPr id="14" name="Imagem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0EDF2872-9166-2D95-66EA-D6735C577C6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5"/>
            </a:ext>
          </a:extLst>
        </a:blip>
        <a:stretch>
          <a:fillRect/>
        </a:stretch>
      </xdr:blipFill>
      <xdr:spPr>
        <a:xfrm rot="10800000" flipH="1">
          <a:off x="7682256" y="1163421"/>
          <a:ext cx="573241" cy="573241"/>
        </a:xfrm>
        <a:prstGeom prst="rect">
          <a:avLst/>
        </a:prstGeom>
      </xdr:spPr>
    </xdr:pic>
    <xdr:clientData/>
  </xdr:twoCellAnchor>
  <xdr:twoCellAnchor editAs="oneCell">
    <xdr:from>
      <xdr:col>13</xdr:col>
      <xdr:colOff>826249</xdr:colOff>
      <xdr:row>7</xdr:row>
      <xdr:rowOff>7470</xdr:rowOff>
    </xdr:from>
    <xdr:to>
      <xdr:col>13</xdr:col>
      <xdr:colOff>1277470</xdr:colOff>
      <xdr:row>9</xdr:row>
      <xdr:rowOff>129986</xdr:rowOff>
    </xdr:to>
    <xdr:pic>
      <xdr:nvPicPr>
        <xdr:cNvPr id="17" name="Imagem 16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D26AB56D-8D83-FFEA-2D84-F611071E32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  <a:ext uri="{837473B0-CC2E-450A-ABE3-18F120FF3D39}">
              <a1611:picAttrSrcUrl xmlns:a1611="http://schemas.microsoft.com/office/drawing/2016/11/main" r:id="rId8"/>
            </a:ext>
          </a:extLst>
        </a:blip>
        <a:stretch>
          <a:fillRect/>
        </a:stretch>
      </xdr:blipFill>
      <xdr:spPr>
        <a:xfrm flipH="1">
          <a:off x="7744014" y="1792941"/>
          <a:ext cx="451221" cy="451221"/>
        </a:xfrm>
        <a:prstGeom prst="rect">
          <a:avLst/>
        </a:prstGeom>
      </xdr:spPr>
    </xdr:pic>
    <xdr:clientData/>
  </xdr:twoCellAnchor>
  <xdr:twoCellAnchor>
    <xdr:from>
      <xdr:col>1</xdr:col>
      <xdr:colOff>1</xdr:colOff>
      <xdr:row>0</xdr:row>
      <xdr:rowOff>0</xdr:rowOff>
    </xdr:from>
    <xdr:to>
      <xdr:col>15</xdr:col>
      <xdr:colOff>1165412</xdr:colOff>
      <xdr:row>0</xdr:row>
      <xdr:rowOff>738673</xdr:rowOff>
    </xdr:to>
    <xdr:grpSp>
      <xdr:nvGrpSpPr>
        <xdr:cNvPr id="21" name="Agrupar 20">
          <a:extLst>
            <a:ext uri="{FF2B5EF4-FFF2-40B4-BE49-F238E27FC236}">
              <a16:creationId xmlns:a16="http://schemas.microsoft.com/office/drawing/2014/main" id="{B58F57F1-79F2-BEFF-65DC-7F6362CCC65E}"/>
            </a:ext>
          </a:extLst>
        </xdr:cNvPr>
        <xdr:cNvGrpSpPr/>
      </xdr:nvGrpSpPr>
      <xdr:grpSpPr>
        <a:xfrm>
          <a:off x="134472" y="0"/>
          <a:ext cx="10638116" cy="738673"/>
          <a:chOff x="134472" y="0"/>
          <a:chExt cx="10309411" cy="738673"/>
        </a:xfrm>
      </xdr:grpSpPr>
      <xdr:grpSp>
        <xdr:nvGrpSpPr>
          <xdr:cNvPr id="20" name="Agrupar 19">
            <a:extLst>
              <a:ext uri="{FF2B5EF4-FFF2-40B4-BE49-F238E27FC236}">
                <a16:creationId xmlns:a16="http://schemas.microsoft.com/office/drawing/2014/main" id="{D1130695-2350-3483-041F-2B6C215C094A}"/>
              </a:ext>
            </a:extLst>
          </xdr:cNvPr>
          <xdr:cNvGrpSpPr/>
        </xdr:nvGrpSpPr>
        <xdr:grpSpPr>
          <a:xfrm>
            <a:off x="134472" y="0"/>
            <a:ext cx="10309411" cy="738673"/>
            <a:chOff x="134472" y="0"/>
            <a:chExt cx="10309411" cy="738673"/>
          </a:xfrm>
        </xdr:grpSpPr>
        <xdr:sp macro="" textlink="">
          <xdr:nvSpPr>
            <xdr:cNvPr id="2" name="Retângulo: Cantos Superiores Arredondados 1">
              <a:extLst>
                <a:ext uri="{FF2B5EF4-FFF2-40B4-BE49-F238E27FC236}">
                  <a16:creationId xmlns:a16="http://schemas.microsoft.com/office/drawing/2014/main" id="{874CE1DA-819E-D674-7B3A-E755A4595331}"/>
                </a:ext>
              </a:extLst>
            </xdr:cNvPr>
            <xdr:cNvSpPr/>
          </xdr:nvSpPr>
          <xdr:spPr>
            <a:xfrm rot="10800000">
              <a:off x="134472" y="0"/>
              <a:ext cx="10309411" cy="738673"/>
            </a:xfrm>
            <a:prstGeom prst="round2SameRect">
              <a:avLst/>
            </a:prstGeom>
            <a:solidFill>
              <a:schemeClr val="tx2"/>
            </a:solidFill>
            <a:ln w="57150">
              <a:solidFill>
                <a:srgbClr val="2E60B3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horzOverflow="clip" rtlCol="0" anchor="t"/>
            <a:lstStyle/>
            <a:p>
              <a:pPr algn="l"/>
              <a:endParaRPr lang="pt-BR" sz="1100"/>
            </a:p>
          </xdr:txBody>
        </xdr:sp>
        <xdr:pic>
          <xdr:nvPicPr>
            <xdr:cNvPr id="7" name="Imagem 6">
              <a:extLst>
                <a:ext uri="{FF2B5EF4-FFF2-40B4-BE49-F238E27FC236}">
                  <a16:creationId xmlns:a16="http://schemas.microsoft.com/office/drawing/2014/main" id="{CACF6166-D657-EC86-4F39-4DBA0EEB7152}"/>
                </a:ext>
              </a:extLst>
            </xdr:cNvPr>
            <xdr:cNvPicPr>
              <a:picLocks noChangeAspect="1"/>
            </xdr:cNvPicPr>
          </xdr:nvPicPr>
          <xdr:blipFill>
            <a:blip xmlns:r="http://schemas.openxmlformats.org/officeDocument/2006/relationships" r:embed="rId9" cstate="print">
              <a:extLst>
                <a:ext uri="{28A0092B-C50C-407E-A947-70E740481C1C}">
                  <a14:useLocalDpi xmlns:a14="http://schemas.microsoft.com/office/drawing/2010/main" val="0"/>
                </a:ext>
              </a:extLst>
            </a:blip>
            <a:stretch>
              <a:fillRect/>
            </a:stretch>
          </xdr:blipFill>
          <xdr:spPr>
            <a:xfrm>
              <a:off x="440596" y="83836"/>
              <a:ext cx="138517" cy="579233"/>
            </a:xfrm>
            <a:prstGeom prst="rect">
              <a:avLst/>
            </a:prstGeom>
          </xdr:spPr>
        </xdr:pic>
      </xdr:grpSp>
      <xdr:sp macro="" textlink="">
        <xdr:nvSpPr>
          <xdr:cNvPr id="19" name="Retângulo 18">
            <a:extLst>
              <a:ext uri="{FF2B5EF4-FFF2-40B4-BE49-F238E27FC236}">
                <a16:creationId xmlns:a16="http://schemas.microsoft.com/office/drawing/2014/main" id="{B8ADED7A-9E5F-E316-0D78-8EC57663A444}"/>
              </a:ext>
            </a:extLst>
          </xdr:cNvPr>
          <xdr:cNvSpPr/>
        </xdr:nvSpPr>
        <xdr:spPr>
          <a:xfrm>
            <a:off x="146342" y="89647"/>
            <a:ext cx="10155600" cy="527837"/>
          </a:xfrm>
          <a:prstGeom prst="rect">
            <a:avLst/>
          </a:prstGeom>
          <a:noFill/>
        </xdr:spPr>
        <xdr:txBody>
          <a:bodyPr wrap="square" lIns="91440" tIns="45720" rIns="91440" bIns="45720">
            <a:spAutoFit/>
          </a:bodyPr>
          <a:lstStyle/>
          <a:p>
            <a:pPr algn="ctr"/>
            <a:r>
              <a:rPr lang="pt-BR" sz="2800" b="1" cap="none" spc="0">
                <a:ln w="0"/>
                <a:solidFill>
                  <a:schemeClr val="accent3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venir Next LT Pro" panose="020B0504020202020204" pitchFamily="34" charset="0"/>
              </a:rPr>
              <a:t>PLANILHA</a:t>
            </a:r>
            <a:r>
              <a:rPr lang="pt-BR" sz="2800" b="1" cap="none" spc="0" baseline="0">
                <a:ln w="0"/>
                <a:solidFill>
                  <a:schemeClr val="accent3"/>
                </a:solidFill>
                <a:effectLst>
                  <a:outerShdw blurRad="38100" dist="19050" dir="2700000" algn="tl" rotWithShape="0">
                    <a:schemeClr val="dk1">
                      <a:alpha val="40000"/>
                    </a:schemeClr>
                  </a:outerShdw>
                </a:effectLst>
                <a:latin typeface="Avenir Next LT Pro" panose="020B0504020202020204" pitchFamily="34" charset="0"/>
              </a:rPr>
              <a:t> DE RENDA PASSIVA</a:t>
            </a:r>
            <a:endParaRPr lang="pt-BR" sz="2800" b="1" cap="none" spc="0">
              <a:ln w="0"/>
              <a:solidFill>
                <a:schemeClr val="accent3"/>
              </a:solidFill>
              <a:effectLst>
                <a:outerShdw blurRad="38100" dist="19050" dir="2700000" algn="tl" rotWithShape="0">
                  <a:schemeClr val="dk1">
                    <a:alpha val="40000"/>
                  </a:schemeClr>
                </a:outerShdw>
              </a:effectLst>
              <a:latin typeface="Avenir Next LT Pro" panose="020B0504020202020204" pitchFamily="34" charset="0"/>
            </a:endParaRPr>
          </a:p>
        </xdr:txBody>
      </xdr: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87226</xdr:colOff>
      <xdr:row>7</xdr:row>
      <xdr:rowOff>122802</xdr:rowOff>
    </xdr:from>
    <xdr:to>
      <xdr:col>24</xdr:col>
      <xdr:colOff>43299</xdr:colOff>
      <xdr:row>40</xdr:row>
      <xdr:rowOff>784</xdr:rowOff>
    </xdr:to>
    <xdr:graphicFrame macro="">
      <xdr:nvGraphicFramePr>
        <xdr:cNvPr id="2" name="Gráfico 1">
          <a:extLst>
            <a:ext uri="{FF2B5EF4-FFF2-40B4-BE49-F238E27FC236}">
              <a16:creationId xmlns:a16="http://schemas.microsoft.com/office/drawing/2014/main" id="{6655CBF6-E23B-CB19-534D-E4DCAA7B48F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</xdr:col>
      <xdr:colOff>152400</xdr:colOff>
      <xdr:row>2</xdr:row>
      <xdr:rowOff>99060</xdr:rowOff>
    </xdr:from>
    <xdr:to>
      <xdr:col>3</xdr:col>
      <xdr:colOff>365760</xdr:colOff>
      <xdr:row>5</xdr:row>
      <xdr:rowOff>114300</xdr:rowOff>
    </xdr:to>
    <xdr:grpSp>
      <xdr:nvGrpSpPr>
        <xdr:cNvPr id="5" name="Agrupar 4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9153774-695E-3B12-EC5D-10F05DA3CE88}"/>
            </a:ext>
          </a:extLst>
        </xdr:cNvPr>
        <xdr:cNvGrpSpPr/>
      </xdr:nvGrpSpPr>
      <xdr:grpSpPr>
        <a:xfrm>
          <a:off x="758092" y="1144368"/>
          <a:ext cx="1424745" cy="513470"/>
          <a:chOff x="2590800" y="434340"/>
          <a:chExt cx="1432560" cy="518160"/>
        </a:xfrm>
      </xdr:grpSpPr>
      <xdr:sp macro="" textlink="">
        <xdr:nvSpPr>
          <xdr:cNvPr id="3" name="Retângulo: Cantos Arredondados 2">
            <a:extLst>
              <a:ext uri="{FF2B5EF4-FFF2-40B4-BE49-F238E27FC236}">
                <a16:creationId xmlns:a16="http://schemas.microsoft.com/office/drawing/2014/main" id="{8C6106B9-61ED-A499-DC3A-65DD61501BC7}"/>
              </a:ext>
            </a:extLst>
          </xdr:cNvPr>
          <xdr:cNvSpPr/>
        </xdr:nvSpPr>
        <xdr:spPr>
          <a:xfrm>
            <a:off x="2590800" y="434340"/>
            <a:ext cx="1432560" cy="518160"/>
          </a:xfrm>
          <a:prstGeom prst="roundRect">
            <a:avLst>
              <a:gd name="adj" fmla="val 50000"/>
            </a:avLst>
          </a:prstGeom>
          <a:ln>
            <a:solidFill>
              <a:schemeClr val="accent3"/>
            </a:solidFill>
          </a:ln>
        </xdr:spPr>
        <xdr:style>
          <a:lnRef idx="2">
            <a:schemeClr val="dk1">
              <a:shade val="50000"/>
            </a:schemeClr>
          </a:lnRef>
          <a:fillRef idx="1">
            <a:schemeClr val="dk1"/>
          </a:fillRef>
          <a:effectRef idx="0">
            <a:schemeClr val="dk1"/>
          </a:effectRef>
          <a:fontRef idx="minor">
            <a:schemeClr val="lt1"/>
          </a:fontRef>
        </xdr:style>
        <xdr:txBody>
          <a:bodyPr vertOverflow="clip" horzOverflow="clip" rtlCol="0" anchor="t"/>
          <a:lstStyle/>
          <a:p>
            <a:pPr algn="l"/>
            <a:endParaRPr lang="pt-BR" sz="1100"/>
          </a:p>
        </xdr:txBody>
      </xdr:sp>
      <xdr:sp macro="" textlink="">
        <xdr:nvSpPr>
          <xdr:cNvPr id="4" name="Retângulo 3">
            <a:extLst>
              <a:ext uri="{FF2B5EF4-FFF2-40B4-BE49-F238E27FC236}">
                <a16:creationId xmlns:a16="http://schemas.microsoft.com/office/drawing/2014/main" id="{B115960A-2768-914C-DF0F-B81D2D5B9C1B}"/>
              </a:ext>
            </a:extLst>
          </xdr:cNvPr>
          <xdr:cNvSpPr/>
        </xdr:nvSpPr>
        <xdr:spPr>
          <a:xfrm>
            <a:off x="2956227" y="519609"/>
            <a:ext cx="686470" cy="328295"/>
          </a:xfrm>
          <a:prstGeom prst="rect">
            <a:avLst/>
          </a:prstGeom>
          <a:noFill/>
        </xdr:spPr>
        <xdr:txBody>
          <a:bodyPr wrap="none" lIns="91440" tIns="45720" rIns="91440" bIns="45720">
            <a:spAutoFit/>
          </a:bodyPr>
          <a:lstStyle/>
          <a:p>
            <a:pPr algn="ctr"/>
            <a:r>
              <a:rPr lang="pt-BR" sz="1600" b="0" cap="none" spc="0">
                <a:ln w="0"/>
                <a:gradFill>
                  <a:gsLst>
                    <a:gs pos="0">
                      <a:schemeClr val="accent5">
                        <a:lumMod val="50000"/>
                      </a:schemeClr>
                    </a:gs>
                    <a:gs pos="50000">
                      <a:schemeClr val="accent5"/>
                    </a:gs>
                    <a:gs pos="100000">
                      <a:schemeClr val="accent5">
                        <a:lumMod val="60000"/>
                        <a:lumOff val="40000"/>
                      </a:schemeClr>
                    </a:gs>
                  </a:gsLst>
                  <a:lin ang="5400000"/>
                </a:gradFill>
                <a:effectLst>
                  <a:reflection blurRad="6350" stA="53000" endA="300" endPos="35500" dir="5400000" sy="-90000" algn="bl" rotWithShape="0"/>
                </a:effectLst>
              </a:rPr>
              <a:t>voltar</a:t>
            </a:r>
          </a:p>
        </xdr:txBody>
      </xdr:sp>
    </xdr:grpSp>
    <xdr:clientData/>
  </xdr:twoCellAnchor>
  <xdr:twoCellAnchor>
    <xdr:from>
      <xdr:col>0</xdr:col>
      <xdr:colOff>0</xdr:colOff>
      <xdr:row>0</xdr:row>
      <xdr:rowOff>0</xdr:rowOff>
    </xdr:from>
    <xdr:to>
      <xdr:col>25</xdr:col>
      <xdr:colOff>263768</xdr:colOff>
      <xdr:row>0</xdr:row>
      <xdr:rowOff>898769</xdr:rowOff>
    </xdr:to>
    <xdr:sp macro="" textlink="">
      <xdr:nvSpPr>
        <xdr:cNvPr id="6" name="Retângulo: Cantos Superiores Arredondados 5">
          <a:extLst>
            <a:ext uri="{FF2B5EF4-FFF2-40B4-BE49-F238E27FC236}">
              <a16:creationId xmlns:a16="http://schemas.microsoft.com/office/drawing/2014/main" id="{A1681D1B-46CF-4D30-AD7B-098E7C2430FA}"/>
            </a:ext>
          </a:extLst>
        </xdr:cNvPr>
        <xdr:cNvSpPr/>
      </xdr:nvSpPr>
      <xdr:spPr>
        <a:xfrm rot="10800000">
          <a:off x="0" y="0"/>
          <a:ext cx="15406076" cy="898769"/>
        </a:xfrm>
        <a:prstGeom prst="round2SameRect">
          <a:avLst/>
        </a:prstGeom>
        <a:solidFill>
          <a:schemeClr val="tx2"/>
        </a:solidFill>
        <a:ln w="57150">
          <a:solidFill>
            <a:srgbClr val="2E60B3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pt-BR" sz="1100"/>
        </a:p>
      </xdr:txBody>
    </xdr:sp>
    <xdr:clientData/>
  </xdr:twoCellAnchor>
  <xdr:oneCellAnchor>
    <xdr:from>
      <xdr:col>4</xdr:col>
      <xdr:colOff>124132</xdr:colOff>
      <xdr:row>0</xdr:row>
      <xdr:rowOff>152400</xdr:rowOff>
    </xdr:from>
    <xdr:ext cx="9766941" cy="589905"/>
    <xdr:sp macro="" textlink="">
      <xdr:nvSpPr>
        <xdr:cNvPr id="7" name="Retângulo 6">
          <a:extLst>
            <a:ext uri="{FF2B5EF4-FFF2-40B4-BE49-F238E27FC236}">
              <a16:creationId xmlns:a16="http://schemas.microsoft.com/office/drawing/2014/main" id="{12EE913D-0753-432E-9088-D3521E1E1209}"/>
            </a:ext>
          </a:extLst>
        </xdr:cNvPr>
        <xdr:cNvSpPr/>
      </xdr:nvSpPr>
      <xdr:spPr>
        <a:xfrm>
          <a:off x="2546901" y="152400"/>
          <a:ext cx="9766941" cy="589905"/>
        </a:xfrm>
        <a:prstGeom prst="rect">
          <a:avLst/>
        </a:prstGeom>
        <a:noFill/>
      </xdr:spPr>
      <xdr:txBody>
        <a:bodyPr wrap="square" lIns="91440" tIns="45720" rIns="91440" bIns="45720">
          <a:spAutoFit/>
        </a:bodyPr>
        <a:lstStyle/>
        <a:p>
          <a:pPr algn="ctr"/>
          <a:r>
            <a:rPr lang="pt-BR" sz="4000" b="0" cap="none" spc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Congenial Black" panose="020B0604020202020204" pitchFamily="2" charset="0"/>
            </a:rPr>
            <a:t>PLANILHA</a:t>
          </a:r>
          <a:r>
            <a:rPr lang="pt-BR" sz="4000" b="0" cap="none" spc="0" baseline="0">
              <a:ln w="0"/>
              <a:gradFill>
                <a:gsLst>
                  <a:gs pos="0">
                    <a:schemeClr val="accent5">
                      <a:lumMod val="50000"/>
                    </a:schemeClr>
                  </a:gs>
                  <a:gs pos="50000">
                    <a:schemeClr val="accent5"/>
                  </a:gs>
                  <a:gs pos="100000">
                    <a:schemeClr val="accent5">
                      <a:lumMod val="60000"/>
                      <a:lumOff val="40000"/>
                    </a:schemeClr>
                  </a:gs>
                </a:gsLst>
                <a:lin ang="5400000"/>
              </a:gradFill>
              <a:effectLst>
                <a:reflection blurRad="6350" stA="53000" endA="300" endPos="35500" dir="5400000" sy="-90000" algn="bl" rotWithShape="0"/>
              </a:effectLst>
              <a:latin typeface="Congenial Black" panose="020B0604020202020204" pitchFamily="2" charset="0"/>
            </a:rPr>
            <a:t> DE RENDA PASSIVA</a:t>
          </a:r>
          <a:endParaRPr lang="pt-BR" sz="4000" b="0" cap="none" spc="0">
            <a:ln w="0"/>
            <a:gradFill>
              <a:gsLst>
                <a:gs pos="0">
                  <a:schemeClr val="accent5">
                    <a:lumMod val="50000"/>
                  </a:schemeClr>
                </a:gs>
                <a:gs pos="50000">
                  <a:schemeClr val="accent5"/>
                </a:gs>
                <a:gs pos="100000">
                  <a:schemeClr val="accent5">
                    <a:lumMod val="60000"/>
                    <a:lumOff val="40000"/>
                  </a:schemeClr>
                </a:gs>
              </a:gsLst>
              <a:lin ang="5400000"/>
            </a:gradFill>
            <a:effectLst>
              <a:reflection blurRad="6350" stA="53000" endA="300" endPos="35500" dir="5400000" sy="-90000" algn="bl" rotWithShape="0"/>
            </a:effectLst>
            <a:latin typeface="Congenial Black" panose="020B0604020202020204" pitchFamily="2" charset="0"/>
          </a:endParaRPr>
        </a:p>
      </xdr:txBody>
    </xdr:sp>
    <xdr:clientData/>
  </xdr:oneCellAnchor>
  <xdr:twoCellAnchor editAs="oneCell">
    <xdr:from>
      <xdr:col>0</xdr:col>
      <xdr:colOff>332587</xdr:colOff>
      <xdr:row>0</xdr:row>
      <xdr:rowOff>83820</xdr:rowOff>
    </xdr:from>
    <xdr:to>
      <xdr:col>0</xdr:col>
      <xdr:colOff>602911</xdr:colOff>
      <xdr:row>0</xdr:row>
      <xdr:rowOff>718826</xdr:rowOff>
    </xdr:to>
    <xdr:pic>
      <xdr:nvPicPr>
        <xdr:cNvPr id="8" name="Imagem 7">
          <a:extLst>
            <a:ext uri="{FF2B5EF4-FFF2-40B4-BE49-F238E27FC236}">
              <a16:creationId xmlns:a16="http://schemas.microsoft.com/office/drawing/2014/main" id="{911B9CD0-6618-4D0E-8BE9-2B9017CC096C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2587" y="83820"/>
          <a:ext cx="270324" cy="635006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  <pageSetUpPr fitToPage="1"/>
  </sheetPr>
  <dimension ref="B1:O1003"/>
  <sheetViews>
    <sheetView showGridLines="0" tabSelected="1" zoomScale="102" zoomScaleNormal="102" workbookViewId="0">
      <pane ySplit="1" topLeftCell="A2" activePane="bottomLeft" state="frozen"/>
      <selection pane="bottomLeft" activeCell="C9" sqref="C9"/>
    </sheetView>
  </sheetViews>
  <sheetFormatPr defaultColWidth="12.6640625" defaultRowHeight="15.75" customHeight="1" x14ac:dyDescent="0.25"/>
  <cols>
    <col min="1" max="1" width="2" style="1" customWidth="1"/>
    <col min="2" max="2" width="32" style="1" bestFit="1" customWidth="1"/>
    <col min="3" max="3" width="15.6640625" style="1" bestFit="1" customWidth="1"/>
    <col min="4" max="4" width="3" style="1" hidden="1" customWidth="1"/>
    <col min="5" max="5" width="12.33203125" style="1" hidden="1" customWidth="1"/>
    <col min="6" max="6" width="17.88671875" style="1" bestFit="1" customWidth="1"/>
    <col min="7" max="7" width="25.88671875" style="1" hidden="1" customWidth="1"/>
    <col min="8" max="8" width="23" style="1" hidden="1" customWidth="1"/>
    <col min="9" max="9" width="20.77734375" style="1" hidden="1" customWidth="1"/>
    <col min="10" max="10" width="19.88671875" style="6" hidden="1" customWidth="1"/>
    <col min="11" max="11" width="20" style="6" hidden="1" customWidth="1"/>
    <col min="12" max="12" width="42.21875" style="1" bestFit="1" customWidth="1"/>
    <col min="13" max="13" width="40.109375" style="1" hidden="1" customWidth="1"/>
    <col min="14" max="14" width="30.33203125" style="8" bestFit="1" customWidth="1"/>
    <col min="15" max="15" width="0" style="1" hidden="1" customWidth="1"/>
    <col min="16" max="16" width="32" style="1" bestFit="1" customWidth="1"/>
    <col min="17" max="17" width="14.88671875" style="1" bestFit="1" customWidth="1"/>
    <col min="18" max="16384" width="12.6640625" style="1"/>
  </cols>
  <sheetData>
    <row r="1" spans="2:15" s="3" customFormat="1" ht="62.4" customHeight="1" x14ac:dyDescent="0.25">
      <c r="J1" s="5"/>
      <c r="K1" s="5"/>
      <c r="N1" s="7"/>
    </row>
    <row r="2" spans="2:15" ht="13.8" thickBot="1" x14ac:dyDescent="0.3"/>
    <row r="3" spans="2:15" ht="13.2" x14ac:dyDescent="0.25">
      <c r="B3" s="44" t="s">
        <v>0</v>
      </c>
      <c r="C3" s="9">
        <v>20000</v>
      </c>
      <c r="D3" s="10"/>
      <c r="E3" s="10"/>
      <c r="F3" s="17"/>
      <c r="G3" s="17"/>
      <c r="H3" s="19"/>
      <c r="I3" s="17"/>
      <c r="J3" s="17"/>
      <c r="K3" s="20"/>
      <c r="L3" s="17"/>
      <c r="M3" s="10"/>
      <c r="N3" s="11"/>
      <c r="O3" s="10"/>
    </row>
    <row r="4" spans="2:15" ht="13.2" x14ac:dyDescent="0.25">
      <c r="B4" s="45" t="s">
        <v>75</v>
      </c>
      <c r="C4" s="12">
        <v>200000</v>
      </c>
      <c r="D4" s="10"/>
      <c r="E4" s="10"/>
      <c r="F4" s="17"/>
      <c r="G4" s="17"/>
      <c r="H4" s="21"/>
      <c r="I4" s="17"/>
      <c r="J4" s="17"/>
      <c r="K4" s="20"/>
      <c r="L4" s="17"/>
      <c r="M4" s="10"/>
      <c r="N4" s="18"/>
      <c r="O4" s="10"/>
    </row>
    <row r="5" spans="2:15" ht="13.2" x14ac:dyDescent="0.25">
      <c r="B5" s="46" t="s">
        <v>1</v>
      </c>
      <c r="C5" s="13">
        <v>11000</v>
      </c>
      <c r="D5" s="10"/>
      <c r="E5" s="10"/>
      <c r="F5" s="17"/>
      <c r="G5" s="17"/>
      <c r="H5" s="22"/>
      <c r="I5" s="17"/>
      <c r="J5" s="17"/>
      <c r="K5" s="20"/>
      <c r="L5" s="17"/>
      <c r="M5" s="10"/>
      <c r="N5" s="18"/>
      <c r="O5" s="10"/>
    </row>
    <row r="6" spans="2:15" ht="13.2" x14ac:dyDescent="0.25">
      <c r="B6" s="46" t="s">
        <v>3</v>
      </c>
      <c r="C6" s="14">
        <v>6000</v>
      </c>
      <c r="D6" s="10"/>
      <c r="E6" s="10"/>
      <c r="F6" s="17"/>
      <c r="G6" s="17"/>
      <c r="H6" s="22"/>
      <c r="I6" s="17"/>
      <c r="J6" s="17"/>
      <c r="K6" s="20"/>
      <c r="L6" s="17"/>
      <c r="M6" s="10"/>
      <c r="N6" s="18"/>
      <c r="O6" s="10"/>
    </row>
    <row r="7" spans="2:15" ht="13.2" x14ac:dyDescent="0.25">
      <c r="B7" s="46" t="s">
        <v>2</v>
      </c>
      <c r="C7" s="25">
        <f>IFERROR(C6/C5,"")</f>
        <v>0.54545454545454541</v>
      </c>
      <c r="D7" s="10"/>
      <c r="E7" s="10"/>
      <c r="F7" s="17"/>
      <c r="G7" s="17"/>
      <c r="H7" s="22"/>
      <c r="I7" s="17"/>
      <c r="J7" s="17"/>
      <c r="K7" s="20"/>
      <c r="L7" s="17"/>
      <c r="M7" s="10"/>
      <c r="N7" s="18"/>
      <c r="O7" s="10"/>
    </row>
    <row r="8" spans="2:15" ht="13.2" x14ac:dyDescent="0.25">
      <c r="B8" s="46" t="s">
        <v>4</v>
      </c>
      <c r="C8" s="15">
        <v>0.1</v>
      </c>
      <c r="D8" s="10"/>
      <c r="E8" s="10"/>
      <c r="F8" s="17"/>
      <c r="G8" s="17"/>
      <c r="H8" s="22"/>
      <c r="I8" s="17"/>
      <c r="J8" s="17"/>
      <c r="K8" s="20"/>
      <c r="L8" s="17"/>
      <c r="M8" s="10"/>
      <c r="N8" s="18"/>
      <c r="O8" s="10"/>
    </row>
    <row r="9" spans="2:15" ht="13.2" x14ac:dyDescent="0.25">
      <c r="B9" s="46" t="s">
        <v>5</v>
      </c>
      <c r="C9" s="15">
        <v>0.15</v>
      </c>
      <c r="D9" s="10"/>
      <c r="E9" s="10"/>
      <c r="F9" s="17"/>
      <c r="G9" s="17"/>
      <c r="H9" s="22"/>
      <c r="I9" s="17"/>
      <c r="J9" s="17"/>
      <c r="K9" s="20"/>
      <c r="L9" s="23"/>
      <c r="M9" s="10"/>
      <c r="N9" s="18"/>
      <c r="O9" s="10"/>
    </row>
    <row r="10" spans="2:15" ht="13.8" thickBot="1" x14ac:dyDescent="0.3">
      <c r="B10" s="47" t="s">
        <v>6</v>
      </c>
      <c r="C10" s="26">
        <f>IFERROR((C3*12)/C8,"")</f>
        <v>2400000</v>
      </c>
      <c r="D10" s="10"/>
      <c r="E10" s="10"/>
      <c r="F10" s="17"/>
      <c r="G10" s="17"/>
      <c r="H10" s="24"/>
      <c r="I10" s="17"/>
      <c r="J10" s="17"/>
      <c r="K10" s="20"/>
      <c r="L10" s="17"/>
      <c r="M10" s="10"/>
      <c r="N10" s="18"/>
      <c r="O10" s="10"/>
    </row>
    <row r="11" spans="2:15" ht="13.2" x14ac:dyDescent="0.25">
      <c r="B11" s="10"/>
      <c r="C11" s="10"/>
      <c r="D11" s="10"/>
      <c r="E11" s="10"/>
      <c r="F11" s="10"/>
      <c r="G11" s="10"/>
      <c r="H11" s="16"/>
      <c r="I11" s="10"/>
      <c r="J11" s="50" t="s">
        <v>76</v>
      </c>
      <c r="K11" s="50"/>
      <c r="L11" s="10"/>
      <c r="M11" s="10"/>
      <c r="N11" s="11"/>
      <c r="O11" s="10"/>
    </row>
    <row r="12" spans="2:15" ht="13.2" x14ac:dyDescent="0.25">
      <c r="B12" s="10"/>
      <c r="C12" s="48"/>
      <c r="D12" s="49"/>
      <c r="E12" s="27" t="s">
        <v>7</v>
      </c>
      <c r="F12" s="28" t="s">
        <v>73</v>
      </c>
      <c r="G12" s="29" t="s">
        <v>74</v>
      </c>
      <c r="H12" s="30" t="s">
        <v>72</v>
      </c>
      <c r="I12" s="31" t="s">
        <v>8</v>
      </c>
      <c r="J12" s="32" t="s">
        <v>77</v>
      </c>
      <c r="K12" s="32" t="s">
        <v>78</v>
      </c>
      <c r="L12" s="31" t="s">
        <v>9</v>
      </c>
      <c r="M12" s="31" t="s">
        <v>10</v>
      </c>
      <c r="N12" s="31" t="s">
        <v>11</v>
      </c>
      <c r="O12" s="10"/>
    </row>
    <row r="13" spans="2:15" ht="13.2" x14ac:dyDescent="0.25">
      <c r="B13" s="17"/>
      <c r="C13" s="33" t="s">
        <v>12</v>
      </c>
      <c r="D13" s="34">
        <v>1</v>
      </c>
      <c r="E13" s="35">
        <f>$C$6*12+C4</f>
        <v>272000</v>
      </c>
      <c r="F13" s="36">
        <f>E13</f>
        <v>272000</v>
      </c>
      <c r="G13" s="37">
        <v>0</v>
      </c>
      <c r="H13" s="38">
        <f t="shared" ref="H13:H44" si="0">F13+G13</f>
        <v>272000</v>
      </c>
      <c r="I13" s="39">
        <f t="shared" ref="I13:I44" si="1">$C$9</f>
        <v>0.15</v>
      </c>
      <c r="J13" s="40">
        <f t="shared" ref="J13:J44" si="2">F13/12*(1+$C$9/12)</f>
        <v>22950</v>
      </c>
      <c r="K13" s="41">
        <f>L13-H13</f>
        <v>34825.128693381848</v>
      </c>
      <c r="L13" s="38">
        <f>FV(($C$9+1)^(1/12)-1,12*D13,-$C$6,-$C$4,0)</f>
        <v>306825.12869338185</v>
      </c>
      <c r="M13" s="42">
        <f t="shared" ref="M13:M44" si="3">L13*$C$8</f>
        <v>30682.512869338185</v>
      </c>
      <c r="N13" s="43">
        <f t="shared" ref="N13:N42" si="4">M13/12</f>
        <v>2556.8760724448489</v>
      </c>
      <c r="O13" s="10">
        <v>1</v>
      </c>
    </row>
    <row r="14" spans="2:15" ht="13.2" x14ac:dyDescent="0.25">
      <c r="B14" s="17"/>
      <c r="C14" s="33" t="s">
        <v>13</v>
      </c>
      <c r="D14" s="34">
        <v>2</v>
      </c>
      <c r="E14" s="35">
        <f t="shared" ref="E14:E45" si="5">$C$6*12</f>
        <v>72000</v>
      </c>
      <c r="F14" s="36">
        <f>E14+F13</f>
        <v>344000</v>
      </c>
      <c r="G14" s="37">
        <f>K13</f>
        <v>34825.128693381848</v>
      </c>
      <c r="H14" s="38">
        <f t="shared" si="0"/>
        <v>378825.12869338185</v>
      </c>
      <c r="I14" s="39">
        <f t="shared" si="1"/>
        <v>0.15</v>
      </c>
      <c r="J14" s="40">
        <f t="shared" si="2"/>
        <v>29025</v>
      </c>
      <c r="K14" s="41">
        <f t="shared" ref="K14:K72" si="6">L14-H14</f>
        <v>50848.897997389198</v>
      </c>
      <c r="L14" s="38">
        <f>FV(($C$9+1)^(1/12)-1,12*D14,-$C$6,-$C$4,0)</f>
        <v>429674.02669077105</v>
      </c>
      <c r="M14" s="42">
        <f t="shared" si="3"/>
        <v>42967.402669077106</v>
      </c>
      <c r="N14" s="43">
        <f t="shared" si="4"/>
        <v>3580.6168890897588</v>
      </c>
      <c r="O14" s="10">
        <v>2</v>
      </c>
    </row>
    <row r="15" spans="2:15" ht="13.2" x14ac:dyDescent="0.25">
      <c r="B15" s="17"/>
      <c r="C15" s="33" t="s">
        <v>14</v>
      </c>
      <c r="D15" s="34">
        <v>3</v>
      </c>
      <c r="E15" s="35">
        <f t="shared" si="5"/>
        <v>72000</v>
      </c>
      <c r="F15" s="36">
        <f t="shared" ref="F15:F72" si="7">E15+F14</f>
        <v>416000</v>
      </c>
      <c r="G15" s="37">
        <f>K14</f>
        <v>50848.897997389198</v>
      </c>
      <c r="H15" s="38">
        <f t="shared" si="0"/>
        <v>466848.8979973892</v>
      </c>
      <c r="I15" s="39">
        <f t="shared" si="1"/>
        <v>0.15</v>
      </c>
      <c r="J15" s="40">
        <f t="shared" si="2"/>
        <v>35099.999999999993</v>
      </c>
      <c r="K15" s="41">
        <f t="shared" si="6"/>
        <v>104101.36139037972</v>
      </c>
      <c r="L15" s="38">
        <f t="shared" ref="L15:L72" si="8">FV(($C$9+1)^(1/12)-1,12*D15,-$C$6,-$C$4,0)</f>
        <v>570950.25938776892</v>
      </c>
      <c r="M15" s="42">
        <f t="shared" si="3"/>
        <v>57095.025938776897</v>
      </c>
      <c r="N15" s="43">
        <f t="shared" si="4"/>
        <v>4757.918828231408</v>
      </c>
      <c r="O15" s="10">
        <v>3</v>
      </c>
    </row>
    <row r="16" spans="2:15" ht="13.2" x14ac:dyDescent="0.25">
      <c r="B16" s="17"/>
      <c r="C16" s="33" t="s">
        <v>15</v>
      </c>
      <c r="D16" s="34">
        <v>4</v>
      </c>
      <c r="E16" s="35">
        <f t="shared" si="5"/>
        <v>72000</v>
      </c>
      <c r="F16" s="36">
        <f t="shared" si="7"/>
        <v>488000</v>
      </c>
      <c r="G16" s="37">
        <f t="shared" ref="G16:G72" si="9">K15</f>
        <v>104101.36139037972</v>
      </c>
      <c r="H16" s="38">
        <f t="shared" si="0"/>
        <v>592101.36139037972</v>
      </c>
      <c r="I16" s="39">
        <f t="shared" si="1"/>
        <v>0.15</v>
      </c>
      <c r="J16" s="40">
        <f t="shared" si="2"/>
        <v>41174.999999999993</v>
      </c>
      <c r="K16" s="41">
        <f t="shared" si="6"/>
        <v>141316.56559893675</v>
      </c>
      <c r="L16" s="38">
        <f t="shared" si="8"/>
        <v>733417.92698931647</v>
      </c>
      <c r="M16" s="42">
        <f t="shared" si="3"/>
        <v>73341.792698931647</v>
      </c>
      <c r="N16" s="43">
        <f t="shared" si="4"/>
        <v>6111.8160582443043</v>
      </c>
      <c r="O16" s="10">
        <v>4</v>
      </c>
    </row>
    <row r="17" spans="2:15" ht="13.2" x14ac:dyDescent="0.25">
      <c r="B17" s="17"/>
      <c r="C17" s="33" t="s">
        <v>16</v>
      </c>
      <c r="D17" s="34">
        <v>5</v>
      </c>
      <c r="E17" s="35">
        <f t="shared" si="5"/>
        <v>72000</v>
      </c>
      <c r="F17" s="36">
        <f t="shared" si="7"/>
        <v>560000</v>
      </c>
      <c r="G17" s="37">
        <f t="shared" si="9"/>
        <v>141316.56559893675</v>
      </c>
      <c r="H17" s="38">
        <f t="shared" si="0"/>
        <v>701316.56559893675</v>
      </c>
      <c r="I17" s="39">
        <f t="shared" si="1"/>
        <v>0.15</v>
      </c>
      <c r="J17" s="40">
        <f t="shared" si="2"/>
        <v>47249.999999999993</v>
      </c>
      <c r="K17" s="41">
        <f t="shared" si="6"/>
        <v>218939.17913215992</v>
      </c>
      <c r="L17" s="38">
        <f t="shared" si="8"/>
        <v>920255.74473109667</v>
      </c>
      <c r="M17" s="42">
        <f t="shared" si="3"/>
        <v>92025.574473109678</v>
      </c>
      <c r="N17" s="43">
        <f t="shared" si="4"/>
        <v>7668.7978727591399</v>
      </c>
      <c r="O17" s="10">
        <v>5</v>
      </c>
    </row>
    <row r="18" spans="2:15" ht="13.2" x14ac:dyDescent="0.25">
      <c r="B18" s="17"/>
      <c r="C18" s="33" t="s">
        <v>17</v>
      </c>
      <c r="D18" s="34">
        <v>6</v>
      </c>
      <c r="E18" s="35">
        <f t="shared" si="5"/>
        <v>72000</v>
      </c>
      <c r="F18" s="36">
        <f t="shared" si="7"/>
        <v>632000</v>
      </c>
      <c r="G18" s="37">
        <f t="shared" si="9"/>
        <v>218939.17913215992</v>
      </c>
      <c r="H18" s="38">
        <f t="shared" si="0"/>
        <v>850939.17913215992</v>
      </c>
      <c r="I18" s="39">
        <f t="shared" si="1"/>
        <v>0.15</v>
      </c>
      <c r="J18" s="40">
        <f t="shared" si="2"/>
        <v>53324.999999999993</v>
      </c>
      <c r="K18" s="41">
        <f t="shared" si="6"/>
        <v>284180.05600198393</v>
      </c>
      <c r="L18" s="38">
        <f t="shared" si="8"/>
        <v>1135119.2351341438</v>
      </c>
      <c r="M18" s="42">
        <f t="shared" si="3"/>
        <v>113511.9235134144</v>
      </c>
      <c r="N18" s="43">
        <f t="shared" si="4"/>
        <v>9459.3269594512003</v>
      </c>
      <c r="O18" s="10">
        <v>6</v>
      </c>
    </row>
    <row r="19" spans="2:15" ht="13.2" x14ac:dyDescent="0.25">
      <c r="B19" s="17"/>
      <c r="C19" s="33" t="s">
        <v>18</v>
      </c>
      <c r="D19" s="34">
        <v>7</v>
      </c>
      <c r="E19" s="35">
        <f t="shared" si="5"/>
        <v>72000</v>
      </c>
      <c r="F19" s="36">
        <f t="shared" si="7"/>
        <v>704000</v>
      </c>
      <c r="G19" s="37">
        <f t="shared" si="9"/>
        <v>284180.05600198393</v>
      </c>
      <c r="H19" s="38">
        <f t="shared" si="0"/>
        <v>988180.05600198393</v>
      </c>
      <c r="I19" s="39">
        <f t="shared" si="1"/>
        <v>0.15</v>
      </c>
      <c r="J19" s="40">
        <f t="shared" si="2"/>
        <v>59399.999999999993</v>
      </c>
      <c r="K19" s="41">
        <f t="shared" si="6"/>
        <v>394032.19309566461</v>
      </c>
      <c r="L19" s="38">
        <f t="shared" si="8"/>
        <v>1382212.2490976485</v>
      </c>
      <c r="M19" s="42">
        <f t="shared" si="3"/>
        <v>138221.22490976486</v>
      </c>
      <c r="N19" s="43">
        <f t="shared" si="4"/>
        <v>11518.435409147072</v>
      </c>
      <c r="O19" s="10">
        <v>7</v>
      </c>
    </row>
    <row r="20" spans="2:15" ht="13.2" x14ac:dyDescent="0.25">
      <c r="B20" s="17"/>
      <c r="C20" s="33" t="s">
        <v>19</v>
      </c>
      <c r="D20" s="34">
        <v>8</v>
      </c>
      <c r="E20" s="35">
        <f t="shared" si="5"/>
        <v>72000</v>
      </c>
      <c r="F20" s="36">
        <f t="shared" si="7"/>
        <v>776000</v>
      </c>
      <c r="G20" s="37">
        <f t="shared" si="9"/>
        <v>394032.19309566461</v>
      </c>
      <c r="H20" s="38">
        <f t="shared" si="0"/>
        <v>1170032.1930956645</v>
      </c>
      <c r="I20" s="39">
        <f t="shared" si="1"/>
        <v>0.15</v>
      </c>
      <c r="J20" s="40">
        <f t="shared" si="2"/>
        <v>65474.999999999993</v>
      </c>
      <c r="K20" s="41">
        <f t="shared" si="6"/>
        <v>496337.02206001524</v>
      </c>
      <c r="L20" s="38">
        <f t="shared" si="8"/>
        <v>1666369.2151556797</v>
      </c>
      <c r="M20" s="42">
        <f t="shared" si="3"/>
        <v>166636.92151556798</v>
      </c>
      <c r="N20" s="43">
        <f t="shared" si="4"/>
        <v>13886.410126297333</v>
      </c>
      <c r="O20" s="10">
        <v>8</v>
      </c>
    </row>
    <row r="21" spans="2:15" ht="13.2" x14ac:dyDescent="0.25">
      <c r="B21" s="17"/>
      <c r="C21" s="33" t="s">
        <v>20</v>
      </c>
      <c r="D21" s="34">
        <v>9</v>
      </c>
      <c r="E21" s="35">
        <f t="shared" si="5"/>
        <v>72000</v>
      </c>
      <c r="F21" s="36">
        <f t="shared" si="7"/>
        <v>848000</v>
      </c>
      <c r="G21" s="37">
        <f t="shared" si="9"/>
        <v>496337.02206001524</v>
      </c>
      <c r="H21" s="38">
        <f t="shared" si="0"/>
        <v>1344337.0220600152</v>
      </c>
      <c r="I21" s="39">
        <f t="shared" si="1"/>
        <v>0.15</v>
      </c>
      <c r="J21" s="40">
        <f t="shared" si="2"/>
        <v>71550</v>
      </c>
      <c r="K21" s="41">
        <f t="shared" si="6"/>
        <v>648812.70406240039</v>
      </c>
      <c r="L21" s="38">
        <f t="shared" si="8"/>
        <v>1993149.7261224156</v>
      </c>
      <c r="M21" s="42">
        <f t="shared" si="3"/>
        <v>199314.97261224157</v>
      </c>
      <c r="N21" s="43">
        <f t="shared" si="4"/>
        <v>16609.58105102013</v>
      </c>
      <c r="O21" s="10">
        <v>9</v>
      </c>
    </row>
    <row r="22" spans="2:15" ht="13.2" x14ac:dyDescent="0.25">
      <c r="B22" s="17"/>
      <c r="C22" s="33" t="s">
        <v>21</v>
      </c>
      <c r="D22" s="34">
        <v>10</v>
      </c>
      <c r="E22" s="35">
        <f t="shared" si="5"/>
        <v>72000</v>
      </c>
      <c r="F22" s="36">
        <f t="shared" si="7"/>
        <v>920000</v>
      </c>
      <c r="G22" s="37">
        <f t="shared" si="9"/>
        <v>648812.70406240039</v>
      </c>
      <c r="H22" s="38">
        <f t="shared" si="0"/>
        <v>1568812.7040624004</v>
      </c>
      <c r="I22" s="39">
        <f t="shared" si="1"/>
        <v>0.15</v>
      </c>
      <c r="J22" s="40">
        <f t="shared" si="2"/>
        <v>77625</v>
      </c>
      <c r="K22" s="41">
        <f t="shared" si="6"/>
        <v>800134.60967176175</v>
      </c>
      <c r="L22" s="38">
        <f t="shared" si="8"/>
        <v>2368947.3137341621</v>
      </c>
      <c r="M22" s="42">
        <f t="shared" si="3"/>
        <v>236894.73137341623</v>
      </c>
      <c r="N22" s="43">
        <f t="shared" si="4"/>
        <v>19741.227614451353</v>
      </c>
      <c r="O22" s="10">
        <v>10</v>
      </c>
    </row>
    <row r="23" spans="2:15" ht="13.2" x14ac:dyDescent="0.25">
      <c r="B23" s="17"/>
      <c r="C23" s="33" t="s">
        <v>22</v>
      </c>
      <c r="D23" s="34">
        <v>11</v>
      </c>
      <c r="E23" s="35">
        <f t="shared" si="5"/>
        <v>72000</v>
      </c>
      <c r="F23" s="36">
        <f t="shared" si="7"/>
        <v>992000</v>
      </c>
      <c r="G23" s="37">
        <f t="shared" si="9"/>
        <v>800134.60967176175</v>
      </c>
      <c r="H23" s="38">
        <f t="shared" si="0"/>
        <v>1792134.6096717617</v>
      </c>
      <c r="I23" s="39">
        <f t="shared" si="1"/>
        <v>0.15</v>
      </c>
      <c r="J23" s="40">
        <f t="shared" si="2"/>
        <v>83700</v>
      </c>
      <c r="K23" s="41">
        <f t="shared" si="6"/>
        <v>1008979.9298159098</v>
      </c>
      <c r="L23" s="38">
        <f t="shared" si="8"/>
        <v>2801114.5394876716</v>
      </c>
      <c r="M23" s="42">
        <f t="shared" si="3"/>
        <v>280111.45394876716</v>
      </c>
      <c r="N23" s="43">
        <f t="shared" si="4"/>
        <v>23342.621162397263</v>
      </c>
      <c r="O23" s="10">
        <v>11</v>
      </c>
    </row>
    <row r="24" spans="2:15" ht="13.2" x14ac:dyDescent="0.25">
      <c r="B24" s="17"/>
      <c r="C24" s="33" t="s">
        <v>23</v>
      </c>
      <c r="D24" s="34">
        <v>12</v>
      </c>
      <c r="E24" s="35">
        <f t="shared" si="5"/>
        <v>72000</v>
      </c>
      <c r="F24" s="36">
        <f t="shared" si="7"/>
        <v>1064000</v>
      </c>
      <c r="G24" s="37">
        <f t="shared" si="9"/>
        <v>1008979.9298159098</v>
      </c>
      <c r="H24" s="38">
        <f t="shared" si="0"/>
        <v>2072979.9298159098</v>
      </c>
      <c r="I24" s="39">
        <f t="shared" si="1"/>
        <v>0.15</v>
      </c>
      <c r="J24" s="40">
        <f t="shared" si="2"/>
        <v>89775</v>
      </c>
      <c r="K24" s="41">
        <f t="shared" si="6"/>
        <v>1225126.9192882972</v>
      </c>
      <c r="L24" s="38">
        <f t="shared" si="8"/>
        <v>3298106.849104207</v>
      </c>
      <c r="M24" s="42">
        <f t="shared" si="3"/>
        <v>329810.68491042074</v>
      </c>
      <c r="N24" s="43">
        <f t="shared" si="4"/>
        <v>27484.223742535061</v>
      </c>
      <c r="O24" s="10">
        <v>12</v>
      </c>
    </row>
    <row r="25" spans="2:15" ht="13.2" x14ac:dyDescent="0.25">
      <c r="B25" s="17"/>
      <c r="C25" s="33" t="s">
        <v>24</v>
      </c>
      <c r="D25" s="34">
        <v>13</v>
      </c>
      <c r="E25" s="35">
        <f t="shared" si="5"/>
        <v>72000</v>
      </c>
      <c r="F25" s="36">
        <f t="shared" si="7"/>
        <v>1136000</v>
      </c>
      <c r="G25" s="37">
        <f t="shared" si="9"/>
        <v>1225126.9192882972</v>
      </c>
      <c r="H25" s="38">
        <f t="shared" si="0"/>
        <v>2361126.9192882972</v>
      </c>
      <c r="I25" s="39">
        <f t="shared" si="1"/>
        <v>0.15</v>
      </c>
      <c r="J25" s="40">
        <f t="shared" si="2"/>
        <v>95850</v>
      </c>
      <c r="K25" s="41">
        <f t="shared" si="6"/>
        <v>1508521.0858749272</v>
      </c>
      <c r="L25" s="38">
        <f t="shared" si="8"/>
        <v>3869648.0051632244</v>
      </c>
      <c r="M25" s="42">
        <f t="shared" si="3"/>
        <v>386964.80051632249</v>
      </c>
      <c r="N25" s="43">
        <f t="shared" si="4"/>
        <v>32247.066709693539</v>
      </c>
      <c r="O25" s="10">
        <v>13</v>
      </c>
    </row>
    <row r="26" spans="2:15" ht="13.2" x14ac:dyDescent="0.25">
      <c r="B26" s="17"/>
      <c r="C26" s="33" t="s">
        <v>25</v>
      </c>
      <c r="D26" s="34">
        <v>14</v>
      </c>
      <c r="E26" s="35">
        <f t="shared" si="5"/>
        <v>72000</v>
      </c>
      <c r="F26" s="36">
        <f t="shared" si="7"/>
        <v>1208000</v>
      </c>
      <c r="G26" s="37">
        <f t="shared" si="9"/>
        <v>1508521.0858749272</v>
      </c>
      <c r="H26" s="38">
        <f t="shared" si="0"/>
        <v>2716521.0858749272</v>
      </c>
      <c r="I26" s="39">
        <f t="shared" si="1"/>
        <v>0.15</v>
      </c>
      <c r="J26" s="40">
        <f t="shared" si="2"/>
        <v>101925</v>
      </c>
      <c r="K26" s="41">
        <f t="shared" si="6"/>
        <v>1810399.2487561684</v>
      </c>
      <c r="L26" s="38">
        <f t="shared" si="8"/>
        <v>4526920.3346310956</v>
      </c>
      <c r="M26" s="42">
        <f t="shared" si="3"/>
        <v>452692.03346310958</v>
      </c>
      <c r="N26" s="43">
        <f t="shared" si="4"/>
        <v>37724.3361219258</v>
      </c>
      <c r="O26" s="10">
        <v>14</v>
      </c>
    </row>
    <row r="27" spans="2:15" ht="13.2" x14ac:dyDescent="0.25">
      <c r="B27" s="17"/>
      <c r="C27" s="33" t="s">
        <v>26</v>
      </c>
      <c r="D27" s="34">
        <v>15</v>
      </c>
      <c r="E27" s="35">
        <f t="shared" si="5"/>
        <v>72000</v>
      </c>
      <c r="F27" s="36">
        <f t="shared" si="7"/>
        <v>1280000</v>
      </c>
      <c r="G27" s="37">
        <f t="shared" si="9"/>
        <v>1810399.2487561684</v>
      </c>
      <c r="H27" s="38">
        <f t="shared" si="0"/>
        <v>3090399.2487561684</v>
      </c>
      <c r="I27" s="39">
        <f t="shared" si="1"/>
        <v>0.15</v>
      </c>
      <c r="J27" s="40">
        <f t="shared" si="2"/>
        <v>108000</v>
      </c>
      <c r="K27" s="41">
        <f t="shared" si="6"/>
        <v>2192384.2647629799</v>
      </c>
      <c r="L27" s="38">
        <f t="shared" si="8"/>
        <v>5282783.5135191483</v>
      </c>
      <c r="M27" s="42">
        <f t="shared" si="3"/>
        <v>528278.35135191481</v>
      </c>
      <c r="N27" s="43">
        <f t="shared" si="4"/>
        <v>44023.195945992898</v>
      </c>
      <c r="O27" s="10">
        <v>15</v>
      </c>
    </row>
    <row r="28" spans="2:15" ht="13.2" x14ac:dyDescent="0.25">
      <c r="B28" s="17"/>
      <c r="C28" s="33" t="s">
        <v>27</v>
      </c>
      <c r="D28" s="34">
        <v>16</v>
      </c>
      <c r="E28" s="35">
        <f t="shared" si="5"/>
        <v>72000</v>
      </c>
      <c r="F28" s="36">
        <f t="shared" si="7"/>
        <v>1352000</v>
      </c>
      <c r="G28" s="37">
        <f t="shared" si="9"/>
        <v>2192384.2647629799</v>
      </c>
      <c r="H28" s="38">
        <f t="shared" si="0"/>
        <v>3544384.2647629799</v>
      </c>
      <c r="I28" s="39">
        <f t="shared" si="1"/>
        <v>0.15</v>
      </c>
      <c r="J28" s="40">
        <f t="shared" si="2"/>
        <v>114075</v>
      </c>
      <c r="K28" s="41">
        <f t="shared" si="6"/>
        <v>2607641.9044774296</v>
      </c>
      <c r="L28" s="38">
        <f t="shared" si="8"/>
        <v>6152026.1692404095</v>
      </c>
      <c r="M28" s="42">
        <f t="shared" si="3"/>
        <v>615202.61692404095</v>
      </c>
      <c r="N28" s="43">
        <f t="shared" si="4"/>
        <v>51266.884743670082</v>
      </c>
      <c r="O28" s="10">
        <v>16</v>
      </c>
    </row>
    <row r="29" spans="2:15" ht="13.2" x14ac:dyDescent="0.25">
      <c r="B29" s="17"/>
      <c r="C29" s="33" t="s">
        <v>28</v>
      </c>
      <c r="D29" s="34">
        <v>17</v>
      </c>
      <c r="E29" s="35">
        <f t="shared" si="5"/>
        <v>72000</v>
      </c>
      <c r="F29" s="36">
        <f t="shared" si="7"/>
        <v>1424000</v>
      </c>
      <c r="G29" s="37">
        <f t="shared" si="9"/>
        <v>2607641.9044774296</v>
      </c>
      <c r="H29" s="38">
        <f t="shared" si="0"/>
        <v>4031641.9044774296</v>
      </c>
      <c r="I29" s="39">
        <f t="shared" si="1"/>
        <v>0.15</v>
      </c>
      <c r="J29" s="40">
        <f t="shared" si="2"/>
        <v>120150</v>
      </c>
      <c r="K29" s="41">
        <f t="shared" si="6"/>
        <v>3120013.3188424306</v>
      </c>
      <c r="L29" s="38">
        <f t="shared" si="8"/>
        <v>7151655.2233198602</v>
      </c>
      <c r="M29" s="42">
        <f t="shared" si="3"/>
        <v>715165.52233198611</v>
      </c>
      <c r="N29" s="43">
        <f t="shared" si="4"/>
        <v>59597.12686099884</v>
      </c>
      <c r="O29" s="10">
        <v>17</v>
      </c>
    </row>
    <row r="30" spans="2:15" ht="13.2" x14ac:dyDescent="0.25">
      <c r="B30" s="17"/>
      <c r="C30" s="33" t="s">
        <v>29</v>
      </c>
      <c r="D30" s="34">
        <v>18</v>
      </c>
      <c r="E30" s="35">
        <f t="shared" si="5"/>
        <v>72000</v>
      </c>
      <c r="F30" s="36">
        <f t="shared" si="7"/>
        <v>1496000</v>
      </c>
      <c r="G30" s="37">
        <f t="shared" si="9"/>
        <v>3120013.3188424306</v>
      </c>
      <c r="H30" s="38">
        <f t="shared" si="0"/>
        <v>4616013.3188424306</v>
      </c>
      <c r="I30" s="39">
        <f t="shared" si="1"/>
        <v>0.15</v>
      </c>
      <c r="J30" s="40">
        <f t="shared" si="2"/>
        <v>126225</v>
      </c>
      <c r="K30" s="41">
        <f t="shared" si="6"/>
        <v>3685215.3166688019</v>
      </c>
      <c r="L30" s="38">
        <f t="shared" si="8"/>
        <v>8301228.6355112325</v>
      </c>
      <c r="M30" s="42">
        <f t="shared" si="3"/>
        <v>830122.8635511233</v>
      </c>
      <c r="N30" s="43">
        <f t="shared" si="4"/>
        <v>69176.905295926947</v>
      </c>
      <c r="O30" s="10">
        <v>18</v>
      </c>
    </row>
    <row r="31" spans="2:15" ht="13.2" x14ac:dyDescent="0.25">
      <c r="B31" s="17"/>
      <c r="C31" s="33" t="s">
        <v>30</v>
      </c>
      <c r="D31" s="34">
        <v>19</v>
      </c>
      <c r="E31" s="35">
        <f t="shared" si="5"/>
        <v>72000</v>
      </c>
      <c r="F31" s="36">
        <f t="shared" si="7"/>
        <v>1568000</v>
      </c>
      <c r="G31" s="37">
        <f t="shared" si="9"/>
        <v>3685215.3166688019</v>
      </c>
      <c r="H31" s="38">
        <f t="shared" si="0"/>
        <v>5253215.3166688019</v>
      </c>
      <c r="I31" s="39">
        <f t="shared" si="1"/>
        <v>0.15</v>
      </c>
      <c r="J31" s="40">
        <f t="shared" si="2"/>
        <v>132300</v>
      </c>
      <c r="K31" s="41">
        <f t="shared" si="6"/>
        <v>4370022.7428625068</v>
      </c>
      <c r="L31" s="38">
        <f t="shared" si="8"/>
        <v>9623238.0595313087</v>
      </c>
      <c r="M31" s="42">
        <f t="shared" si="3"/>
        <v>962323.80595313094</v>
      </c>
      <c r="N31" s="43">
        <f t="shared" si="4"/>
        <v>80193.65049609424</v>
      </c>
      <c r="O31" s="10">
        <v>19</v>
      </c>
    </row>
    <row r="32" spans="2:15" ht="13.2" x14ac:dyDescent="0.25">
      <c r="B32" s="17"/>
      <c r="C32" s="33" t="s">
        <v>31</v>
      </c>
      <c r="D32" s="34">
        <v>20</v>
      </c>
      <c r="E32" s="35">
        <f t="shared" si="5"/>
        <v>72000</v>
      </c>
      <c r="F32" s="36">
        <f t="shared" si="7"/>
        <v>1640000</v>
      </c>
      <c r="G32" s="37">
        <f t="shared" si="9"/>
        <v>4370022.7428625068</v>
      </c>
      <c r="H32" s="38">
        <f t="shared" si="0"/>
        <v>6010022.7428625068</v>
      </c>
      <c r="I32" s="39">
        <f t="shared" si="1"/>
        <v>0.15</v>
      </c>
      <c r="J32" s="40">
        <f t="shared" si="2"/>
        <v>138374.99999999997</v>
      </c>
      <c r="K32" s="41">
        <f t="shared" si="6"/>
        <v>5133526.1542918952</v>
      </c>
      <c r="L32" s="38">
        <f t="shared" si="8"/>
        <v>11143548.897154402</v>
      </c>
      <c r="M32" s="42">
        <f t="shared" si="3"/>
        <v>1114354.8897154403</v>
      </c>
      <c r="N32" s="43">
        <f t="shared" si="4"/>
        <v>92862.907476286695</v>
      </c>
      <c r="O32" s="10">
        <v>20</v>
      </c>
    </row>
    <row r="33" spans="2:15" ht="13.2" x14ac:dyDescent="0.25">
      <c r="B33" s="17"/>
      <c r="C33" s="33" t="s">
        <v>32</v>
      </c>
      <c r="D33" s="34">
        <v>21</v>
      </c>
      <c r="E33" s="35">
        <f t="shared" si="5"/>
        <v>72000</v>
      </c>
      <c r="F33" s="36">
        <f t="shared" si="7"/>
        <v>1712000</v>
      </c>
      <c r="G33" s="37">
        <f t="shared" si="9"/>
        <v>5133526.1542918952</v>
      </c>
      <c r="H33" s="38">
        <f t="shared" si="0"/>
        <v>6845526.1542918952</v>
      </c>
      <c r="I33" s="39">
        <f t="shared" si="1"/>
        <v>0.15</v>
      </c>
      <c r="J33" s="40">
        <f t="shared" si="2"/>
        <v>144449.99999999997</v>
      </c>
      <c r="K33" s="41">
        <f t="shared" si="6"/>
        <v>6046380.2061290657</v>
      </c>
      <c r="L33" s="38">
        <f t="shared" si="8"/>
        <v>12891906.360420961</v>
      </c>
      <c r="M33" s="42">
        <f t="shared" si="3"/>
        <v>1289190.6360420962</v>
      </c>
      <c r="N33" s="43">
        <f t="shared" si="4"/>
        <v>107432.55300350802</v>
      </c>
      <c r="O33" s="10">
        <v>21</v>
      </c>
    </row>
    <row r="34" spans="2:15" ht="13.2" x14ac:dyDescent="0.25">
      <c r="B34" s="17"/>
      <c r="C34" s="33" t="s">
        <v>33</v>
      </c>
      <c r="D34" s="34">
        <v>22</v>
      </c>
      <c r="E34" s="35">
        <f t="shared" si="5"/>
        <v>72000</v>
      </c>
      <c r="F34" s="36">
        <f t="shared" si="7"/>
        <v>1784000</v>
      </c>
      <c r="G34" s="37">
        <f t="shared" si="9"/>
        <v>6046380.2061290657</v>
      </c>
      <c r="H34" s="38">
        <f t="shared" si="0"/>
        <v>7830380.2061290657</v>
      </c>
      <c r="I34" s="39">
        <f t="shared" si="1"/>
        <v>0.15</v>
      </c>
      <c r="J34" s="40">
        <f t="shared" si="2"/>
        <v>150524.99999999997</v>
      </c>
      <c r="K34" s="41">
        <f t="shared" si="6"/>
        <v>7072137.2370484388</v>
      </c>
      <c r="L34" s="38">
        <f t="shared" si="8"/>
        <v>14902517.443177504</v>
      </c>
      <c r="M34" s="42">
        <f t="shared" si="3"/>
        <v>1490251.7443177504</v>
      </c>
      <c r="N34" s="43">
        <f t="shared" si="4"/>
        <v>124187.64535981254</v>
      </c>
      <c r="O34" s="10">
        <v>22</v>
      </c>
    </row>
    <row r="35" spans="2:15" ht="13.2" x14ac:dyDescent="0.25">
      <c r="B35" s="17"/>
      <c r="C35" s="33" t="s">
        <v>34</v>
      </c>
      <c r="D35" s="34">
        <v>23</v>
      </c>
      <c r="E35" s="35">
        <f t="shared" si="5"/>
        <v>72000</v>
      </c>
      <c r="F35" s="36">
        <f t="shared" si="7"/>
        <v>1856000</v>
      </c>
      <c r="G35" s="37">
        <f t="shared" si="9"/>
        <v>7072137.2370484388</v>
      </c>
      <c r="H35" s="38">
        <f t="shared" si="0"/>
        <v>8928137.2370484397</v>
      </c>
      <c r="I35" s="39">
        <f t="shared" si="1"/>
        <v>0.15</v>
      </c>
      <c r="J35" s="40">
        <f t="shared" si="2"/>
        <v>156599.99999999997</v>
      </c>
      <c r="K35" s="41">
        <f t="shared" si="6"/>
        <v>8286582.9512990937</v>
      </c>
      <c r="L35" s="38">
        <f t="shared" si="8"/>
        <v>17214720.188347533</v>
      </c>
      <c r="M35" s="42">
        <f t="shared" si="3"/>
        <v>1721472.0188347534</v>
      </c>
      <c r="N35" s="43">
        <f t="shared" si="4"/>
        <v>143456.0015695628</v>
      </c>
      <c r="O35" s="10">
        <v>23</v>
      </c>
    </row>
    <row r="36" spans="2:15" ht="13.2" x14ac:dyDescent="0.25">
      <c r="B36" s="10"/>
      <c r="C36" s="33" t="s">
        <v>35</v>
      </c>
      <c r="D36" s="34">
        <v>24</v>
      </c>
      <c r="E36" s="35">
        <f t="shared" si="5"/>
        <v>72000</v>
      </c>
      <c r="F36" s="36">
        <f t="shared" si="7"/>
        <v>1928000</v>
      </c>
      <c r="G36" s="37">
        <f t="shared" si="9"/>
        <v>8286582.9512990937</v>
      </c>
      <c r="H36" s="38">
        <f t="shared" si="0"/>
        <v>10214582.951299094</v>
      </c>
      <c r="I36" s="39">
        <f t="shared" si="1"/>
        <v>0.15</v>
      </c>
      <c r="J36" s="40">
        <f t="shared" si="2"/>
        <v>162674.99999999997</v>
      </c>
      <c r="K36" s="41">
        <f t="shared" si="6"/>
        <v>9659170.3939939737</v>
      </c>
      <c r="L36" s="38">
        <f t="shared" si="8"/>
        <v>19873753.345293067</v>
      </c>
      <c r="M36" s="42">
        <f t="shared" si="3"/>
        <v>1987375.3345293067</v>
      </c>
      <c r="N36" s="43">
        <f t="shared" si="4"/>
        <v>165614.61121077556</v>
      </c>
      <c r="O36" s="10">
        <v>24</v>
      </c>
    </row>
    <row r="37" spans="2:15" ht="13.2" x14ac:dyDescent="0.25">
      <c r="B37" s="10"/>
      <c r="C37" s="33" t="s">
        <v>36</v>
      </c>
      <c r="D37" s="34">
        <v>25</v>
      </c>
      <c r="E37" s="35">
        <f t="shared" si="5"/>
        <v>72000</v>
      </c>
      <c r="F37" s="36">
        <f t="shared" si="7"/>
        <v>2000000</v>
      </c>
      <c r="G37" s="37">
        <f t="shared" si="9"/>
        <v>9659170.3939939737</v>
      </c>
      <c r="H37" s="38">
        <f t="shared" si="0"/>
        <v>11659170.393993974</v>
      </c>
      <c r="I37" s="39">
        <f t="shared" si="1"/>
        <v>0.15</v>
      </c>
      <c r="J37" s="40">
        <f t="shared" si="2"/>
        <v>168749.99999999997</v>
      </c>
      <c r="K37" s="41">
        <f t="shared" si="6"/>
        <v>11272471.081786465</v>
      </c>
      <c r="L37" s="38">
        <f t="shared" si="8"/>
        <v>22931641.475780439</v>
      </c>
      <c r="M37" s="42">
        <f t="shared" si="3"/>
        <v>2293164.1475780439</v>
      </c>
      <c r="N37" s="43">
        <f t="shared" si="4"/>
        <v>191097.01229817033</v>
      </c>
      <c r="O37" s="10">
        <v>25</v>
      </c>
    </row>
    <row r="38" spans="2:15" ht="13.2" x14ac:dyDescent="0.25">
      <c r="B38" s="10"/>
      <c r="C38" s="33" t="s">
        <v>37</v>
      </c>
      <c r="D38" s="34">
        <v>26</v>
      </c>
      <c r="E38" s="35">
        <f t="shared" si="5"/>
        <v>72000</v>
      </c>
      <c r="F38" s="36">
        <f t="shared" si="7"/>
        <v>2072000</v>
      </c>
      <c r="G38" s="37">
        <f t="shared" si="9"/>
        <v>11272471.081786465</v>
      </c>
      <c r="H38" s="38">
        <f t="shared" si="0"/>
        <v>13344471.081786465</v>
      </c>
      <c r="I38" s="39">
        <f t="shared" si="1"/>
        <v>0.15</v>
      </c>
      <c r="J38" s="40">
        <f t="shared" si="2"/>
        <v>174824.99999999997</v>
      </c>
      <c r="K38" s="41">
        <f t="shared" si="6"/>
        <v>13103741.744054455</v>
      </c>
      <c r="L38" s="38">
        <f t="shared" si="8"/>
        <v>26448212.82584092</v>
      </c>
      <c r="M38" s="42">
        <f t="shared" si="3"/>
        <v>2644821.2825840921</v>
      </c>
      <c r="N38" s="43">
        <f t="shared" si="4"/>
        <v>220401.77354867433</v>
      </c>
      <c r="O38" s="10">
        <v>26</v>
      </c>
    </row>
    <row r="39" spans="2:15" ht="13.2" x14ac:dyDescent="0.25">
      <c r="B39" s="10"/>
      <c r="C39" s="33" t="s">
        <v>38</v>
      </c>
      <c r="D39" s="34">
        <v>27</v>
      </c>
      <c r="E39" s="35">
        <f t="shared" si="5"/>
        <v>72000</v>
      </c>
      <c r="F39" s="36">
        <f t="shared" si="7"/>
        <v>2144000</v>
      </c>
      <c r="G39" s="37">
        <f t="shared" si="9"/>
        <v>13103741.744054455</v>
      </c>
      <c r="H39" s="38">
        <f t="shared" si="0"/>
        <v>15247741.744054455</v>
      </c>
      <c r="I39" s="39">
        <f t="shared" si="1"/>
        <v>0.15</v>
      </c>
      <c r="J39" s="40">
        <f t="shared" si="2"/>
        <v>180899.99999999997</v>
      </c>
      <c r="K39" s="41">
        <f t="shared" si="6"/>
        <v>15244528.134356014</v>
      </c>
      <c r="L39" s="38">
        <f t="shared" si="8"/>
        <v>30492269.87841047</v>
      </c>
      <c r="M39" s="42">
        <f t="shared" si="3"/>
        <v>3049226.9878410473</v>
      </c>
      <c r="N39" s="43">
        <f t="shared" si="4"/>
        <v>254102.24898675396</v>
      </c>
      <c r="O39" s="10">
        <v>27</v>
      </c>
    </row>
    <row r="40" spans="2:15" ht="13.2" x14ac:dyDescent="0.25">
      <c r="B40" s="10"/>
      <c r="C40" s="33" t="s">
        <v>39</v>
      </c>
      <c r="D40" s="34">
        <v>28</v>
      </c>
      <c r="E40" s="35">
        <f t="shared" si="5"/>
        <v>72000</v>
      </c>
      <c r="F40" s="36">
        <f t="shared" si="7"/>
        <v>2216000</v>
      </c>
      <c r="G40" s="37">
        <f t="shared" si="9"/>
        <v>15244528.134356014</v>
      </c>
      <c r="H40" s="38">
        <f t="shared" si="0"/>
        <v>17460528.134356014</v>
      </c>
      <c r="I40" s="39">
        <f t="shared" si="1"/>
        <v>0.15</v>
      </c>
      <c r="J40" s="40">
        <f t="shared" si="2"/>
        <v>186974.99999999997</v>
      </c>
      <c r="K40" s="41">
        <f t="shared" si="6"/>
        <v>17682407.354509458</v>
      </c>
      <c r="L40" s="38">
        <f t="shared" si="8"/>
        <v>35142935.488865472</v>
      </c>
      <c r="M40" s="42">
        <f t="shared" si="3"/>
        <v>3514293.5488865473</v>
      </c>
      <c r="N40" s="43">
        <f t="shared" si="4"/>
        <v>292857.79574054561</v>
      </c>
      <c r="O40" s="10">
        <v>28</v>
      </c>
    </row>
    <row r="41" spans="2:15" ht="13.2" x14ac:dyDescent="0.25">
      <c r="B41" s="10"/>
      <c r="C41" s="33" t="s">
        <v>40</v>
      </c>
      <c r="D41" s="34">
        <v>29</v>
      </c>
      <c r="E41" s="35">
        <f t="shared" si="5"/>
        <v>72000</v>
      </c>
      <c r="F41" s="36">
        <f t="shared" si="7"/>
        <v>2288000</v>
      </c>
      <c r="G41" s="37">
        <f t="shared" si="9"/>
        <v>17682407.354509458</v>
      </c>
      <c r="H41" s="38">
        <f t="shared" si="0"/>
        <v>19970407.354509458</v>
      </c>
      <c r="I41" s="39">
        <f t="shared" si="1"/>
        <v>0.15</v>
      </c>
      <c r="J41" s="40">
        <f t="shared" si="2"/>
        <v>193049.99999999997</v>
      </c>
      <c r="K41" s="41">
        <f t="shared" si="6"/>
        <v>20520793.586379267</v>
      </c>
      <c r="L41" s="38">
        <f t="shared" si="8"/>
        <v>40491200.940888725</v>
      </c>
      <c r="M41" s="42">
        <f t="shared" si="3"/>
        <v>4049120.0940888729</v>
      </c>
      <c r="N41" s="43">
        <f t="shared" si="4"/>
        <v>337426.67450740607</v>
      </c>
      <c r="O41" s="10">
        <v>29</v>
      </c>
    </row>
    <row r="42" spans="2:15" ht="13.2" x14ac:dyDescent="0.25">
      <c r="B42" s="10"/>
      <c r="C42" s="33" t="s">
        <v>41</v>
      </c>
      <c r="D42" s="34">
        <v>30</v>
      </c>
      <c r="E42" s="35">
        <f t="shared" si="5"/>
        <v>72000</v>
      </c>
      <c r="F42" s="36">
        <f t="shared" si="7"/>
        <v>2360000</v>
      </c>
      <c r="G42" s="37">
        <f t="shared" si="9"/>
        <v>20520793.586379267</v>
      </c>
      <c r="H42" s="38">
        <f t="shared" si="0"/>
        <v>22880793.586379267</v>
      </c>
      <c r="I42" s="39">
        <f t="shared" si="1"/>
        <v>0.15</v>
      </c>
      <c r="J42" s="40">
        <f t="shared" si="2"/>
        <v>199124.99999999997</v>
      </c>
      <c r="K42" s="41">
        <f t="shared" si="6"/>
        <v>23760912.624336205</v>
      </c>
      <c r="L42" s="38">
        <f t="shared" si="8"/>
        <v>46641706.210715473</v>
      </c>
      <c r="M42" s="42">
        <f t="shared" si="3"/>
        <v>4664170.6210715473</v>
      </c>
      <c r="N42" s="43">
        <f t="shared" si="4"/>
        <v>388680.88508929563</v>
      </c>
      <c r="O42" s="10">
        <v>30</v>
      </c>
    </row>
    <row r="43" spans="2:15" ht="13.2" x14ac:dyDescent="0.25">
      <c r="B43" s="10"/>
      <c r="C43" s="33" t="s">
        <v>42</v>
      </c>
      <c r="D43" s="34">
        <v>31</v>
      </c>
      <c r="E43" s="35">
        <f t="shared" si="5"/>
        <v>72000</v>
      </c>
      <c r="F43" s="36">
        <f t="shared" si="7"/>
        <v>2432000</v>
      </c>
      <c r="G43" s="37">
        <f t="shared" si="9"/>
        <v>23760912.624336205</v>
      </c>
      <c r="H43" s="38">
        <f t="shared" si="0"/>
        <v>26192912.624336205</v>
      </c>
      <c r="I43" s="39">
        <f t="shared" si="1"/>
        <v>0.15</v>
      </c>
      <c r="J43" s="40">
        <f t="shared" si="2"/>
        <v>205199.99999999997</v>
      </c>
      <c r="K43" s="41">
        <f t="shared" si="6"/>
        <v>27521874.646680035</v>
      </c>
      <c r="L43" s="38">
        <f t="shared" si="8"/>
        <v>53714787.27101624</v>
      </c>
      <c r="M43" s="42">
        <f t="shared" si="3"/>
        <v>5371478.727101624</v>
      </c>
      <c r="N43" s="43">
        <f t="shared" ref="N43:N66" si="10">M43/12</f>
        <v>447623.22725846869</v>
      </c>
      <c r="O43" s="10">
        <v>31</v>
      </c>
    </row>
    <row r="44" spans="2:15" ht="13.2" x14ac:dyDescent="0.25">
      <c r="B44" s="10"/>
      <c r="C44" s="33" t="s">
        <v>43</v>
      </c>
      <c r="D44" s="34">
        <v>32</v>
      </c>
      <c r="E44" s="35">
        <f t="shared" si="5"/>
        <v>72000</v>
      </c>
      <c r="F44" s="36">
        <f t="shared" si="7"/>
        <v>2504000</v>
      </c>
      <c r="G44" s="37">
        <f t="shared" si="9"/>
        <v>27521874.646680035</v>
      </c>
      <c r="H44" s="38">
        <f t="shared" si="0"/>
        <v>30025874.646680035</v>
      </c>
      <c r="I44" s="39">
        <f t="shared" si="1"/>
        <v>0.15</v>
      </c>
      <c r="J44" s="40">
        <f t="shared" si="2"/>
        <v>211274.99999999997</v>
      </c>
      <c r="K44" s="41">
        <f t="shared" si="6"/>
        <v>31822955.843682103</v>
      </c>
      <c r="L44" s="38">
        <f t="shared" si="8"/>
        <v>61848830.490362138</v>
      </c>
      <c r="M44" s="42">
        <f t="shared" si="3"/>
        <v>6184883.0490362141</v>
      </c>
      <c r="N44" s="43">
        <f t="shared" si="10"/>
        <v>515406.92075301782</v>
      </c>
      <c r="O44" s="10">
        <v>32</v>
      </c>
    </row>
    <row r="45" spans="2:15" ht="13.2" x14ac:dyDescent="0.25">
      <c r="B45" s="10"/>
      <c r="C45" s="33" t="s">
        <v>44</v>
      </c>
      <c r="D45" s="34">
        <v>33</v>
      </c>
      <c r="E45" s="35">
        <f t="shared" si="5"/>
        <v>72000</v>
      </c>
      <c r="F45" s="36">
        <f t="shared" si="7"/>
        <v>2576000</v>
      </c>
      <c r="G45" s="37">
        <f t="shared" si="9"/>
        <v>31822955.843682103</v>
      </c>
      <c r="H45" s="38">
        <f t="shared" ref="H45:H72" si="11">F45+G45</f>
        <v>34398955.843682103</v>
      </c>
      <c r="I45" s="39">
        <f t="shared" ref="I45:I72" si="12">$C$9</f>
        <v>0.15</v>
      </c>
      <c r="J45" s="40">
        <f t="shared" ref="J45:J72" si="13">F45/12*(1+$C$9/12)</f>
        <v>217349.99999999997</v>
      </c>
      <c r="K45" s="41">
        <f t="shared" si="6"/>
        <v>36804024.348927833</v>
      </c>
      <c r="L45" s="38">
        <f t="shared" si="8"/>
        <v>71202980.192609936</v>
      </c>
      <c r="M45" s="42">
        <f t="shared" ref="M45:M72" si="14">L45*$C$8</f>
        <v>7120298.0192609942</v>
      </c>
      <c r="N45" s="43">
        <f t="shared" si="10"/>
        <v>593358.16827174951</v>
      </c>
      <c r="O45" s="10">
        <v>33</v>
      </c>
    </row>
    <row r="46" spans="2:15" ht="13.2" x14ac:dyDescent="0.25">
      <c r="B46" s="10"/>
      <c r="C46" s="33" t="s">
        <v>45</v>
      </c>
      <c r="D46" s="34">
        <v>34</v>
      </c>
      <c r="E46" s="35">
        <f t="shared" ref="E46:E72" si="15">$C$6*12</f>
        <v>72000</v>
      </c>
      <c r="F46" s="36">
        <f t="shared" si="7"/>
        <v>2648000</v>
      </c>
      <c r="G46" s="37">
        <f t="shared" si="9"/>
        <v>36804024.348927833</v>
      </c>
      <c r="H46" s="38">
        <f t="shared" si="11"/>
        <v>39452024.348927833</v>
      </c>
      <c r="I46" s="39">
        <f t="shared" si="12"/>
        <v>0.15</v>
      </c>
      <c r="J46" s="40">
        <f t="shared" si="13"/>
        <v>223424.99999999997</v>
      </c>
      <c r="K46" s="41">
        <f t="shared" si="6"/>
        <v>42508228.001267068</v>
      </c>
      <c r="L46" s="38">
        <f t="shared" si="8"/>
        <v>81960252.350194901</v>
      </c>
      <c r="M46" s="42">
        <f t="shared" si="14"/>
        <v>8196025.2350194901</v>
      </c>
      <c r="N46" s="43">
        <f t="shared" si="10"/>
        <v>683002.10291829088</v>
      </c>
      <c r="O46" s="10">
        <v>34</v>
      </c>
    </row>
    <row r="47" spans="2:15" ht="13.2" x14ac:dyDescent="0.25">
      <c r="B47" s="10"/>
      <c r="C47" s="33" t="s">
        <v>46</v>
      </c>
      <c r="D47" s="34">
        <v>35</v>
      </c>
      <c r="E47" s="35">
        <f t="shared" si="15"/>
        <v>72000</v>
      </c>
      <c r="F47" s="36">
        <f t="shared" si="7"/>
        <v>2720000</v>
      </c>
      <c r="G47" s="37">
        <f t="shared" si="9"/>
        <v>42508228.001267068</v>
      </c>
      <c r="H47" s="38">
        <f t="shared" si="11"/>
        <v>45228228.001267068</v>
      </c>
      <c r="I47" s="39">
        <f t="shared" si="12"/>
        <v>0.15</v>
      </c>
      <c r="J47" s="40">
        <f t="shared" si="13"/>
        <v>229499.99999999997</v>
      </c>
      <c r="K47" s="41">
        <f t="shared" si="6"/>
        <v>49102887.330150567</v>
      </c>
      <c r="L47" s="38">
        <f t="shared" si="8"/>
        <v>94331115.331417635</v>
      </c>
      <c r="M47" s="42">
        <f t="shared" si="14"/>
        <v>9433111.5331417639</v>
      </c>
      <c r="N47" s="43">
        <f t="shared" si="10"/>
        <v>786092.6277618137</v>
      </c>
      <c r="O47" s="10">
        <v>35</v>
      </c>
    </row>
    <row r="48" spans="2:15" ht="13.2" x14ac:dyDescent="0.25">
      <c r="B48" s="10"/>
      <c r="C48" s="33" t="s">
        <v>47</v>
      </c>
      <c r="D48" s="34">
        <v>36</v>
      </c>
      <c r="E48" s="35">
        <f t="shared" si="15"/>
        <v>72000</v>
      </c>
      <c r="F48" s="36">
        <f t="shared" si="7"/>
        <v>2792000</v>
      </c>
      <c r="G48" s="37">
        <f t="shared" si="9"/>
        <v>49102887.330150567</v>
      </c>
      <c r="H48" s="38">
        <f t="shared" si="11"/>
        <v>51894887.330150567</v>
      </c>
      <c r="I48" s="39">
        <f t="shared" si="12"/>
        <v>0.15</v>
      </c>
      <c r="J48" s="40">
        <f t="shared" si="13"/>
        <v>235574.99999999997</v>
      </c>
      <c r="K48" s="41">
        <f t="shared" si="6"/>
        <v>56662720.429673232</v>
      </c>
      <c r="L48" s="38">
        <f t="shared" si="8"/>
        <v>108557607.7598238</v>
      </c>
      <c r="M48" s="42">
        <f t="shared" si="14"/>
        <v>10855760.77598238</v>
      </c>
      <c r="N48" s="43">
        <f t="shared" si="10"/>
        <v>904646.73133186495</v>
      </c>
      <c r="O48" s="10">
        <v>36</v>
      </c>
    </row>
    <row r="49" spans="2:15" ht="13.2" x14ac:dyDescent="0.25">
      <c r="B49" s="10"/>
      <c r="C49" s="33" t="s">
        <v>48</v>
      </c>
      <c r="D49" s="34">
        <v>37</v>
      </c>
      <c r="E49" s="35">
        <f t="shared" si="15"/>
        <v>72000</v>
      </c>
      <c r="F49" s="36">
        <f t="shared" si="7"/>
        <v>2864000</v>
      </c>
      <c r="G49" s="37">
        <f t="shared" si="9"/>
        <v>56662720.429673232</v>
      </c>
      <c r="H49" s="38">
        <f t="shared" si="11"/>
        <v>59526720.429673232</v>
      </c>
      <c r="I49" s="39">
        <f t="shared" si="12"/>
        <v>0.15</v>
      </c>
      <c r="J49" s="40">
        <f t="shared" si="13"/>
        <v>241649.99999999997</v>
      </c>
      <c r="K49" s="41">
        <f t="shared" si="6"/>
        <v>65391353.622817673</v>
      </c>
      <c r="L49" s="38">
        <f t="shared" si="8"/>
        <v>124918074.0524909</v>
      </c>
      <c r="M49" s="42">
        <f t="shared" si="14"/>
        <v>12491807.405249091</v>
      </c>
      <c r="N49" s="43">
        <f t="shared" si="10"/>
        <v>1040983.9504374242</v>
      </c>
      <c r="O49" s="10">
        <v>37</v>
      </c>
    </row>
    <row r="50" spans="2:15" ht="13.2" x14ac:dyDescent="0.25">
      <c r="B50" s="10"/>
      <c r="C50" s="33" t="s">
        <v>49</v>
      </c>
      <c r="D50" s="34">
        <v>38</v>
      </c>
      <c r="E50" s="35">
        <f t="shared" si="15"/>
        <v>72000</v>
      </c>
      <c r="F50" s="36">
        <f t="shared" si="7"/>
        <v>2936000</v>
      </c>
      <c r="G50" s="37">
        <f t="shared" si="9"/>
        <v>65391353.622817673</v>
      </c>
      <c r="H50" s="38">
        <f t="shared" si="11"/>
        <v>68327353.622817665</v>
      </c>
      <c r="I50" s="39">
        <f t="shared" si="12"/>
        <v>0.15</v>
      </c>
      <c r="J50" s="40">
        <f t="shared" si="13"/>
        <v>247724.99999999997</v>
      </c>
      <c r="K50" s="41">
        <f t="shared" si="6"/>
        <v>75405256.666240424</v>
      </c>
      <c r="L50" s="38">
        <f t="shared" si="8"/>
        <v>143732610.28905809</v>
      </c>
      <c r="M50" s="42">
        <f t="shared" si="14"/>
        <v>14373261.028905809</v>
      </c>
      <c r="N50" s="43">
        <f t="shared" si="10"/>
        <v>1197771.7524088174</v>
      </c>
      <c r="O50" s="10">
        <v>38</v>
      </c>
    </row>
    <row r="51" spans="2:15" ht="13.2" x14ac:dyDescent="0.25">
      <c r="B51" s="10"/>
      <c r="C51" s="33" t="s">
        <v>50</v>
      </c>
      <c r="D51" s="34">
        <v>39</v>
      </c>
      <c r="E51" s="35">
        <f t="shared" si="15"/>
        <v>72000</v>
      </c>
      <c r="F51" s="36">
        <f t="shared" si="7"/>
        <v>3008000</v>
      </c>
      <c r="G51" s="37">
        <f t="shared" si="9"/>
        <v>75405256.666240424</v>
      </c>
      <c r="H51" s="38">
        <f t="shared" si="11"/>
        <v>78413256.666240424</v>
      </c>
      <c r="I51" s="39">
        <f t="shared" si="12"/>
        <v>0.15</v>
      </c>
      <c r="J51" s="40">
        <f t="shared" si="13"/>
        <v>253799.99999999997</v>
      </c>
      <c r="K51" s="41">
        <f t="shared" si="6"/>
        <v>86956070.294869989</v>
      </c>
      <c r="L51" s="38">
        <f t="shared" si="8"/>
        <v>165369326.96111041</v>
      </c>
      <c r="M51" s="42">
        <f t="shared" si="14"/>
        <v>16536932.696111042</v>
      </c>
      <c r="N51" s="43">
        <f t="shared" si="10"/>
        <v>1378077.7246759201</v>
      </c>
      <c r="O51" s="10">
        <v>39</v>
      </c>
    </row>
    <row r="52" spans="2:15" ht="13.2" x14ac:dyDescent="0.25">
      <c r="B52" s="10"/>
      <c r="C52" s="33" t="s">
        <v>51</v>
      </c>
      <c r="D52" s="34">
        <v>40</v>
      </c>
      <c r="E52" s="35">
        <f t="shared" si="15"/>
        <v>72000</v>
      </c>
      <c r="F52" s="36">
        <f t="shared" si="7"/>
        <v>3080000</v>
      </c>
      <c r="G52" s="37">
        <f t="shared" si="9"/>
        <v>86956070.294869989</v>
      </c>
      <c r="H52" s="38">
        <f t="shared" si="11"/>
        <v>90036070.294869989</v>
      </c>
      <c r="I52" s="39">
        <f t="shared" si="12"/>
        <v>0.15</v>
      </c>
      <c r="J52" s="40">
        <f t="shared" si="13"/>
        <v>259874.99999999997</v>
      </c>
      <c r="K52" s="41">
        <f t="shared" si="6"/>
        <v>100215480.83910057</v>
      </c>
      <c r="L52" s="38">
        <f t="shared" si="8"/>
        <v>190251551.13397056</v>
      </c>
      <c r="M52" s="42">
        <f t="shared" si="14"/>
        <v>19025155.113397058</v>
      </c>
      <c r="N52" s="43">
        <f t="shared" si="10"/>
        <v>1585429.5927830881</v>
      </c>
      <c r="O52" s="10">
        <v>40</v>
      </c>
    </row>
    <row r="53" spans="2:15" ht="13.2" x14ac:dyDescent="0.25">
      <c r="B53" s="10"/>
      <c r="C53" s="33" t="s">
        <v>52</v>
      </c>
      <c r="D53" s="34">
        <v>41</v>
      </c>
      <c r="E53" s="35">
        <f t="shared" si="15"/>
        <v>72000</v>
      </c>
      <c r="F53" s="36">
        <f t="shared" si="7"/>
        <v>3152000</v>
      </c>
      <c r="G53" s="37">
        <f t="shared" si="9"/>
        <v>100215480.83910057</v>
      </c>
      <c r="H53" s="38">
        <f t="shared" si="11"/>
        <v>103367480.83910057</v>
      </c>
      <c r="I53" s="39">
        <f t="shared" si="12"/>
        <v>0.15</v>
      </c>
      <c r="J53" s="40">
        <f t="shared" si="13"/>
        <v>265950</v>
      </c>
      <c r="K53" s="41">
        <f t="shared" si="6"/>
        <v>115498628.09365928</v>
      </c>
      <c r="L53" s="38">
        <f t="shared" si="8"/>
        <v>218866108.93275985</v>
      </c>
      <c r="M53" s="42">
        <f t="shared" si="14"/>
        <v>21886610.893275987</v>
      </c>
      <c r="N53" s="43">
        <f t="shared" si="10"/>
        <v>1823884.2411063323</v>
      </c>
      <c r="O53" s="10">
        <v>41</v>
      </c>
    </row>
    <row r="54" spans="2:15" ht="13.2" x14ac:dyDescent="0.25">
      <c r="B54" s="10"/>
      <c r="C54" s="33" t="s">
        <v>53</v>
      </c>
      <c r="D54" s="34">
        <v>42</v>
      </c>
      <c r="E54" s="35">
        <f t="shared" si="15"/>
        <v>72000</v>
      </c>
      <c r="F54" s="36">
        <f t="shared" si="7"/>
        <v>3224000</v>
      </c>
      <c r="G54" s="37">
        <f t="shared" si="9"/>
        <v>115498628.09365928</v>
      </c>
      <c r="H54" s="38">
        <f t="shared" si="11"/>
        <v>118722628.09365928</v>
      </c>
      <c r="I54" s="39">
        <f t="shared" si="12"/>
        <v>0.15</v>
      </c>
      <c r="J54" s="40">
        <f t="shared" si="13"/>
        <v>272025</v>
      </c>
      <c r="K54" s="41">
        <f t="shared" si="6"/>
        <v>133050222.3077082</v>
      </c>
      <c r="L54" s="38">
        <f t="shared" si="8"/>
        <v>251772850.40136749</v>
      </c>
      <c r="M54" s="42">
        <f t="shared" si="14"/>
        <v>25177285.040136751</v>
      </c>
      <c r="N54" s="43">
        <f t="shared" si="10"/>
        <v>2098107.0866780626</v>
      </c>
      <c r="O54" s="10">
        <v>42</v>
      </c>
    </row>
    <row r="55" spans="2:15" ht="13.2" x14ac:dyDescent="0.25">
      <c r="B55" s="10"/>
      <c r="C55" s="33" t="s">
        <v>54</v>
      </c>
      <c r="D55" s="34">
        <v>43</v>
      </c>
      <c r="E55" s="35">
        <f t="shared" si="15"/>
        <v>72000</v>
      </c>
      <c r="F55" s="36">
        <f t="shared" si="7"/>
        <v>3296000</v>
      </c>
      <c r="G55" s="37">
        <f t="shared" si="9"/>
        <v>133050222.3077082</v>
      </c>
      <c r="H55" s="38">
        <f t="shared" si="11"/>
        <v>136346222.3077082</v>
      </c>
      <c r="I55" s="39">
        <f t="shared" si="12"/>
        <v>0.15</v>
      </c>
      <c r="J55" s="40">
        <f t="shared" si="13"/>
        <v>278100</v>
      </c>
      <c r="K55" s="41">
        <f t="shared" si="6"/>
        <v>153269380.78255808</v>
      </c>
      <c r="L55" s="38">
        <f t="shared" si="8"/>
        <v>289615603.09026629</v>
      </c>
      <c r="M55" s="42">
        <f t="shared" si="14"/>
        <v>28961560.309026629</v>
      </c>
      <c r="N55" s="43">
        <f t="shared" si="10"/>
        <v>2413463.3590855524</v>
      </c>
      <c r="O55" s="10">
        <v>43</v>
      </c>
    </row>
    <row r="56" spans="2:15" ht="13.2" x14ac:dyDescent="0.25">
      <c r="B56" s="10"/>
      <c r="C56" s="33" t="s">
        <v>55</v>
      </c>
      <c r="D56" s="34">
        <v>44</v>
      </c>
      <c r="E56" s="35">
        <f t="shared" si="15"/>
        <v>72000</v>
      </c>
      <c r="F56" s="36">
        <f t="shared" si="7"/>
        <v>3368000</v>
      </c>
      <c r="G56" s="37">
        <f t="shared" si="9"/>
        <v>153269380.78255808</v>
      </c>
      <c r="H56" s="38">
        <f t="shared" si="11"/>
        <v>156637380.78255808</v>
      </c>
      <c r="I56" s="39">
        <f t="shared" si="12"/>
        <v>0.15</v>
      </c>
      <c r="J56" s="40">
        <f t="shared" si="13"/>
        <v>284175</v>
      </c>
      <c r="K56" s="41">
        <f t="shared" si="6"/>
        <v>176497387.89994198</v>
      </c>
      <c r="L56" s="38">
        <f t="shared" si="8"/>
        <v>333134768.68250006</v>
      </c>
      <c r="M56" s="42">
        <f t="shared" si="14"/>
        <v>33313476.868250009</v>
      </c>
      <c r="N56" s="43">
        <f t="shared" si="10"/>
        <v>2776123.0723541672</v>
      </c>
      <c r="O56" s="10">
        <v>44</v>
      </c>
    </row>
    <row r="57" spans="2:15" ht="13.2" x14ac:dyDescent="0.25">
      <c r="B57" s="10"/>
      <c r="C57" s="33" t="s">
        <v>56</v>
      </c>
      <c r="D57" s="34">
        <v>45</v>
      </c>
      <c r="E57" s="35">
        <f t="shared" si="15"/>
        <v>72000</v>
      </c>
      <c r="F57" s="36">
        <f t="shared" si="7"/>
        <v>3440000</v>
      </c>
      <c r="G57" s="37">
        <f t="shared" si="9"/>
        <v>176497387.89994198</v>
      </c>
      <c r="H57" s="38">
        <f t="shared" si="11"/>
        <v>179937387.89994198</v>
      </c>
      <c r="I57" s="39">
        <f t="shared" si="12"/>
        <v>0.15</v>
      </c>
      <c r="J57" s="40">
        <f t="shared" si="13"/>
        <v>290250</v>
      </c>
      <c r="K57" s="41">
        <f t="shared" si="6"/>
        <v>203244421.21362692</v>
      </c>
      <c r="L57" s="38">
        <f t="shared" si="8"/>
        <v>383181809.1135689</v>
      </c>
      <c r="M57" s="42">
        <f t="shared" si="14"/>
        <v>38318180.911356889</v>
      </c>
      <c r="N57" s="43">
        <f t="shared" si="10"/>
        <v>3193181.7426130739</v>
      </c>
      <c r="O57" s="10">
        <v>45</v>
      </c>
    </row>
    <row r="58" spans="2:15" ht="13.2" x14ac:dyDescent="0.25">
      <c r="B58" s="10"/>
      <c r="C58" s="33" t="s">
        <v>57</v>
      </c>
      <c r="D58" s="34">
        <v>46</v>
      </c>
      <c r="E58" s="35">
        <f t="shared" si="15"/>
        <v>72000</v>
      </c>
      <c r="F58" s="36">
        <f t="shared" si="7"/>
        <v>3512000</v>
      </c>
      <c r="G58" s="37">
        <f t="shared" si="9"/>
        <v>203244421.21362692</v>
      </c>
      <c r="H58" s="38">
        <f t="shared" si="11"/>
        <v>206756421.21362692</v>
      </c>
      <c r="I58" s="39">
        <f t="shared" si="12"/>
        <v>0.15</v>
      </c>
      <c r="J58" s="40">
        <f t="shared" si="13"/>
        <v>296325</v>
      </c>
      <c r="K58" s="41">
        <f t="shared" si="6"/>
        <v>233979484.39567137</v>
      </c>
      <c r="L58" s="38">
        <f t="shared" si="8"/>
        <v>440735905.60929829</v>
      </c>
      <c r="M58" s="42">
        <f t="shared" si="14"/>
        <v>44073590.560929835</v>
      </c>
      <c r="N58" s="43">
        <f t="shared" si="10"/>
        <v>3672799.2134108194</v>
      </c>
      <c r="O58" s="10">
        <v>46</v>
      </c>
    </row>
    <row r="59" spans="2:15" ht="13.2" x14ac:dyDescent="0.25">
      <c r="B59" s="10"/>
      <c r="C59" s="33" t="s">
        <v>58</v>
      </c>
      <c r="D59" s="34">
        <v>47</v>
      </c>
      <c r="E59" s="35">
        <f t="shared" si="15"/>
        <v>72000</v>
      </c>
      <c r="F59" s="36">
        <f t="shared" si="7"/>
        <v>3584000</v>
      </c>
      <c r="G59" s="37">
        <f t="shared" si="9"/>
        <v>233979484.39567137</v>
      </c>
      <c r="H59" s="38">
        <f t="shared" si="11"/>
        <v>237563484.39567137</v>
      </c>
      <c r="I59" s="39">
        <f t="shared" si="12"/>
        <v>0.15</v>
      </c>
      <c r="J59" s="40">
        <f t="shared" si="13"/>
        <v>302400</v>
      </c>
      <c r="K59" s="41">
        <f t="shared" si="6"/>
        <v>269359632.18371558</v>
      </c>
      <c r="L59" s="38">
        <f t="shared" si="8"/>
        <v>506923116.57938695</v>
      </c>
      <c r="M59" s="42">
        <f t="shared" si="14"/>
        <v>50692311.657938696</v>
      </c>
      <c r="N59" s="43">
        <f t="shared" si="10"/>
        <v>4224359.3048282247</v>
      </c>
      <c r="O59" s="10">
        <v>47</v>
      </c>
    </row>
    <row r="60" spans="2:15" ht="13.2" x14ac:dyDescent="0.25">
      <c r="B60" s="10"/>
      <c r="C60" s="33" t="s">
        <v>59</v>
      </c>
      <c r="D60" s="34">
        <v>48</v>
      </c>
      <c r="E60" s="35">
        <f t="shared" si="15"/>
        <v>72000</v>
      </c>
      <c r="F60" s="36">
        <f t="shared" si="7"/>
        <v>3656000</v>
      </c>
      <c r="G60" s="37">
        <f t="shared" si="9"/>
        <v>269359632.18371558</v>
      </c>
      <c r="H60" s="38">
        <f t="shared" si="11"/>
        <v>273015632.18371558</v>
      </c>
      <c r="I60" s="39">
        <f t="shared" si="12"/>
        <v>0.15</v>
      </c>
      <c r="J60" s="40">
        <f t="shared" si="13"/>
        <v>308475</v>
      </c>
      <c r="K60" s="41">
        <f t="shared" si="6"/>
        <v>310022777.01127362</v>
      </c>
      <c r="L60" s="38">
        <f t="shared" si="8"/>
        <v>583038409.1949892</v>
      </c>
      <c r="M60" s="42">
        <f t="shared" si="14"/>
        <v>58303840.91949892</v>
      </c>
      <c r="N60" s="43">
        <f t="shared" si="10"/>
        <v>4858653.4099582434</v>
      </c>
      <c r="O60" s="10">
        <v>48</v>
      </c>
    </row>
    <row r="61" spans="2:15" ht="13.2" x14ac:dyDescent="0.25">
      <c r="B61" s="10"/>
      <c r="C61" s="33" t="s">
        <v>60</v>
      </c>
      <c r="D61" s="34">
        <v>49</v>
      </c>
      <c r="E61" s="35">
        <f t="shared" si="15"/>
        <v>72000</v>
      </c>
      <c r="F61" s="36">
        <f t="shared" si="7"/>
        <v>3728000</v>
      </c>
      <c r="G61" s="37">
        <f t="shared" si="9"/>
        <v>310022777.01127362</v>
      </c>
      <c r="H61" s="38">
        <f t="shared" si="11"/>
        <v>313750777.01127362</v>
      </c>
      <c r="I61" s="39">
        <f t="shared" si="12"/>
        <v>0.15</v>
      </c>
      <c r="J61" s="40">
        <f t="shared" si="13"/>
        <v>314550</v>
      </c>
      <c r="K61" s="41">
        <f t="shared" si="6"/>
        <v>356820218.69165802</v>
      </c>
      <c r="L61" s="38">
        <f t="shared" si="8"/>
        <v>670570995.70293164</v>
      </c>
      <c r="M61" s="42">
        <f t="shared" si="14"/>
        <v>67057099.570293166</v>
      </c>
      <c r="N61" s="43">
        <f t="shared" si="10"/>
        <v>5588091.6308577638</v>
      </c>
      <c r="O61" s="10">
        <v>49</v>
      </c>
    </row>
    <row r="62" spans="2:15" ht="13.2" x14ac:dyDescent="0.25">
      <c r="B62" s="10"/>
      <c r="C62" s="33" t="s">
        <v>61</v>
      </c>
      <c r="D62" s="34">
        <v>50</v>
      </c>
      <c r="E62" s="35">
        <f t="shared" si="15"/>
        <v>72000</v>
      </c>
      <c r="F62" s="36">
        <f t="shared" si="7"/>
        <v>3800000</v>
      </c>
      <c r="G62" s="37">
        <f t="shared" si="9"/>
        <v>356820218.69165802</v>
      </c>
      <c r="H62" s="38">
        <f t="shared" si="11"/>
        <v>360620218.69165802</v>
      </c>
      <c r="I62" s="39">
        <f t="shared" si="12"/>
        <v>0.15</v>
      </c>
      <c r="J62" s="40">
        <f t="shared" si="13"/>
        <v>320625</v>
      </c>
      <c r="K62" s="41">
        <f t="shared" si="6"/>
        <v>410613251.49540782</v>
      </c>
      <c r="L62" s="38">
        <f t="shared" si="8"/>
        <v>771233470.18706584</v>
      </c>
      <c r="M62" s="42">
        <f t="shared" si="14"/>
        <v>77123347.01870659</v>
      </c>
      <c r="N62" s="43">
        <f t="shared" si="10"/>
        <v>6426945.5848922161</v>
      </c>
      <c r="O62" s="10">
        <v>50</v>
      </c>
    </row>
    <row r="63" spans="2:15" ht="13.2" x14ac:dyDescent="0.25">
      <c r="B63" s="10"/>
      <c r="C63" s="33" t="s">
        <v>62</v>
      </c>
      <c r="D63" s="34">
        <v>51</v>
      </c>
      <c r="E63" s="35">
        <f t="shared" si="15"/>
        <v>72000</v>
      </c>
      <c r="F63" s="36">
        <f t="shared" si="7"/>
        <v>3872000</v>
      </c>
      <c r="G63" s="37">
        <f t="shared" si="9"/>
        <v>410613251.49540782</v>
      </c>
      <c r="H63" s="38">
        <f t="shared" si="11"/>
        <v>414485251.49540782</v>
      </c>
      <c r="I63" s="39">
        <f t="shared" si="12"/>
        <v>0.15</v>
      </c>
      <c r="J63" s="40">
        <f t="shared" si="13"/>
        <v>326700</v>
      </c>
      <c r="K63" s="41">
        <f t="shared" si="6"/>
        <v>472510064.34841239</v>
      </c>
      <c r="L63" s="38">
        <f t="shared" si="8"/>
        <v>886995315.84382021</v>
      </c>
      <c r="M63" s="42">
        <f t="shared" si="14"/>
        <v>88699531.584382027</v>
      </c>
      <c r="N63" s="43">
        <f t="shared" si="10"/>
        <v>7391627.6320318356</v>
      </c>
      <c r="O63" s="10">
        <v>51</v>
      </c>
    </row>
    <row r="64" spans="2:15" ht="13.2" x14ac:dyDescent="0.25">
      <c r="B64" s="10"/>
      <c r="C64" s="33" t="s">
        <v>63</v>
      </c>
      <c r="D64" s="34">
        <v>52</v>
      </c>
      <c r="E64" s="35">
        <f t="shared" si="15"/>
        <v>72000</v>
      </c>
      <c r="F64" s="36">
        <f t="shared" si="7"/>
        <v>3944000</v>
      </c>
      <c r="G64" s="37">
        <f t="shared" si="9"/>
        <v>472510064.34841239</v>
      </c>
      <c r="H64" s="38">
        <f t="shared" si="11"/>
        <v>476454064.34841239</v>
      </c>
      <c r="I64" s="39">
        <f t="shared" si="12"/>
        <v>0.15</v>
      </c>
      <c r="J64" s="40">
        <f t="shared" si="13"/>
        <v>332775</v>
      </c>
      <c r="K64" s="41">
        <f t="shared" si="6"/>
        <v>543667374.00067556</v>
      </c>
      <c r="L64" s="38">
        <f t="shared" si="8"/>
        <v>1020121438.349088</v>
      </c>
      <c r="M64" s="42">
        <f t="shared" si="14"/>
        <v>102012143.8349088</v>
      </c>
      <c r="N64" s="43">
        <f t="shared" si="10"/>
        <v>8501011.9862424005</v>
      </c>
      <c r="O64" s="10">
        <v>52</v>
      </c>
    </row>
    <row r="65" spans="2:15" ht="13.2" x14ac:dyDescent="0.25">
      <c r="B65" s="10"/>
      <c r="C65" s="33" t="s">
        <v>64</v>
      </c>
      <c r="D65" s="34">
        <v>53</v>
      </c>
      <c r="E65" s="35">
        <f t="shared" si="15"/>
        <v>72000</v>
      </c>
      <c r="F65" s="36">
        <f t="shared" si="7"/>
        <v>4016000</v>
      </c>
      <c r="G65" s="37">
        <f t="shared" si="9"/>
        <v>543667374.00067556</v>
      </c>
      <c r="H65" s="38">
        <f t="shared" si="11"/>
        <v>547683374.00067556</v>
      </c>
      <c r="I65" s="39">
        <f t="shared" si="12"/>
        <v>0.15</v>
      </c>
      <c r="J65" s="40">
        <f t="shared" si="13"/>
        <v>338850</v>
      </c>
      <c r="K65" s="41">
        <f t="shared" si="6"/>
        <v>625533105.22947037</v>
      </c>
      <c r="L65" s="38">
        <f t="shared" si="8"/>
        <v>1173216479.2301459</v>
      </c>
      <c r="M65" s="42">
        <f t="shared" si="14"/>
        <v>117321647.9230146</v>
      </c>
      <c r="N65" s="43">
        <f t="shared" si="10"/>
        <v>9776803.9935845491</v>
      </c>
      <c r="O65" s="10">
        <v>53</v>
      </c>
    </row>
    <row r="66" spans="2:15" ht="13.2" x14ac:dyDescent="0.25">
      <c r="B66" s="10"/>
      <c r="C66" s="33" t="s">
        <v>65</v>
      </c>
      <c r="D66" s="34">
        <v>54</v>
      </c>
      <c r="E66" s="35">
        <f t="shared" si="15"/>
        <v>72000</v>
      </c>
      <c r="F66" s="36">
        <f t="shared" si="7"/>
        <v>4088000</v>
      </c>
      <c r="G66" s="37">
        <f t="shared" si="9"/>
        <v>625533105.22947037</v>
      </c>
      <c r="H66" s="38">
        <f t="shared" si="11"/>
        <v>629621105.22947037</v>
      </c>
      <c r="I66" s="39">
        <f t="shared" si="12"/>
        <v>0.15</v>
      </c>
      <c r="J66" s="40">
        <f t="shared" si="13"/>
        <v>344925</v>
      </c>
      <c r="K66" s="41">
        <f t="shared" si="6"/>
        <v>719654671.01389229</v>
      </c>
      <c r="L66" s="38">
        <f t="shared" si="8"/>
        <v>1349275776.2433627</v>
      </c>
      <c r="M66" s="42">
        <f t="shared" si="14"/>
        <v>134927577.62433627</v>
      </c>
      <c r="N66" s="43">
        <f t="shared" si="10"/>
        <v>11243964.802028023</v>
      </c>
      <c r="O66" s="10">
        <v>54</v>
      </c>
    </row>
    <row r="67" spans="2:15" ht="13.2" x14ac:dyDescent="0.25">
      <c r="B67" s="10"/>
      <c r="C67" s="33" t="s">
        <v>66</v>
      </c>
      <c r="D67" s="34">
        <v>55</v>
      </c>
      <c r="E67" s="35">
        <f t="shared" si="15"/>
        <v>72000</v>
      </c>
      <c r="F67" s="36">
        <f t="shared" si="7"/>
        <v>4160000</v>
      </c>
      <c r="G67" s="37">
        <f t="shared" si="9"/>
        <v>719654671.01389229</v>
      </c>
      <c r="H67" s="38">
        <f t="shared" si="11"/>
        <v>723814671.01389229</v>
      </c>
      <c r="I67" s="39">
        <f t="shared" si="12"/>
        <v>0.15</v>
      </c>
      <c r="J67" s="40">
        <f t="shared" si="13"/>
        <v>351000</v>
      </c>
      <c r="K67" s="41">
        <f t="shared" si="6"/>
        <v>827929296.79467046</v>
      </c>
      <c r="L67" s="38">
        <f t="shared" si="8"/>
        <v>1551743967.8085628</v>
      </c>
      <c r="M67" s="42">
        <f t="shared" si="14"/>
        <v>155174396.78085628</v>
      </c>
      <c r="N67" s="43">
        <f t="shared" ref="N67:N72" si="16">M67/12</f>
        <v>12931199.731738023</v>
      </c>
      <c r="O67" s="10">
        <v>55</v>
      </c>
    </row>
    <row r="68" spans="2:15" ht="13.2" x14ac:dyDescent="0.25">
      <c r="B68" s="10"/>
      <c r="C68" s="33" t="s">
        <v>67</v>
      </c>
      <c r="D68" s="34">
        <v>56</v>
      </c>
      <c r="E68" s="35">
        <f t="shared" si="15"/>
        <v>72000</v>
      </c>
      <c r="F68" s="36">
        <f t="shared" si="7"/>
        <v>4232000</v>
      </c>
      <c r="G68" s="37">
        <f t="shared" si="9"/>
        <v>827929296.79467046</v>
      </c>
      <c r="H68" s="38">
        <f t="shared" si="11"/>
        <v>832161296.79467046</v>
      </c>
      <c r="I68" s="39">
        <f t="shared" si="12"/>
        <v>0.15</v>
      </c>
      <c r="J68" s="40">
        <f t="shared" si="13"/>
        <v>357075</v>
      </c>
      <c r="K68" s="41">
        <f t="shared" si="6"/>
        <v>952421091.31387198</v>
      </c>
      <c r="L68" s="38">
        <f t="shared" si="8"/>
        <v>1784582388.1085424</v>
      </c>
      <c r="M68" s="42">
        <f t="shared" si="14"/>
        <v>178458238.81085426</v>
      </c>
      <c r="N68" s="43">
        <f t="shared" si="16"/>
        <v>14871519.900904521</v>
      </c>
      <c r="O68" s="10">
        <v>56</v>
      </c>
    </row>
    <row r="69" spans="2:15" ht="13.2" x14ac:dyDescent="0.25">
      <c r="B69" s="10"/>
      <c r="C69" s="33" t="s">
        <v>68</v>
      </c>
      <c r="D69" s="34">
        <v>57</v>
      </c>
      <c r="E69" s="35">
        <f t="shared" si="15"/>
        <v>72000</v>
      </c>
      <c r="F69" s="36">
        <f t="shared" si="7"/>
        <v>4304000</v>
      </c>
      <c r="G69" s="37">
        <f t="shared" si="9"/>
        <v>952421091.31387198</v>
      </c>
      <c r="H69" s="38">
        <f t="shared" si="11"/>
        <v>956725091.31387198</v>
      </c>
      <c r="I69" s="39">
        <f t="shared" si="12"/>
        <v>0.15</v>
      </c>
      <c r="J69" s="40">
        <f t="shared" si="13"/>
        <v>363150</v>
      </c>
      <c r="K69" s="41">
        <f t="shared" si="6"/>
        <v>1095621480.139648</v>
      </c>
      <c r="L69" s="38">
        <f t="shared" si="8"/>
        <v>2052346571.4535198</v>
      </c>
      <c r="M69" s="42">
        <f t="shared" si="14"/>
        <v>205234657.14535201</v>
      </c>
      <c r="N69" s="43">
        <f t="shared" si="16"/>
        <v>17102888.095446002</v>
      </c>
      <c r="O69" s="10">
        <v>57</v>
      </c>
    </row>
    <row r="70" spans="2:15" ht="13.2" x14ac:dyDescent="0.25">
      <c r="B70" s="10"/>
      <c r="C70" s="33" t="s">
        <v>69</v>
      </c>
      <c r="D70" s="34">
        <v>58</v>
      </c>
      <c r="E70" s="35">
        <f t="shared" si="15"/>
        <v>72000</v>
      </c>
      <c r="F70" s="36">
        <f t="shared" si="7"/>
        <v>4376000</v>
      </c>
      <c r="G70" s="37">
        <f t="shared" si="9"/>
        <v>1095621480.139648</v>
      </c>
      <c r="H70" s="38">
        <f t="shared" si="11"/>
        <v>1099997480.139648</v>
      </c>
      <c r="I70" s="39">
        <f t="shared" si="12"/>
        <v>0.15</v>
      </c>
      <c r="J70" s="40">
        <f t="shared" si="13"/>
        <v>369225</v>
      </c>
      <c r="K70" s="41">
        <f t="shared" si="6"/>
        <v>1260277902.1605964</v>
      </c>
      <c r="L70" s="38">
        <f t="shared" si="8"/>
        <v>2360275382.3002443</v>
      </c>
      <c r="M70" s="42">
        <f t="shared" si="14"/>
        <v>236027538.23002446</v>
      </c>
      <c r="N70" s="43">
        <f t="shared" si="16"/>
        <v>19668961.519168705</v>
      </c>
      <c r="O70" s="10">
        <v>58</v>
      </c>
    </row>
    <row r="71" spans="2:15" ht="13.2" x14ac:dyDescent="0.25">
      <c r="B71" s="10"/>
      <c r="C71" s="33" t="s">
        <v>70</v>
      </c>
      <c r="D71" s="34">
        <v>59</v>
      </c>
      <c r="E71" s="35">
        <f t="shared" si="15"/>
        <v>72000</v>
      </c>
      <c r="F71" s="36">
        <f t="shared" si="7"/>
        <v>4448000</v>
      </c>
      <c r="G71" s="37">
        <f t="shared" si="9"/>
        <v>1260277902.1605964</v>
      </c>
      <c r="H71" s="38">
        <f t="shared" si="11"/>
        <v>1264725902.1605964</v>
      </c>
      <c r="I71" s="39">
        <f t="shared" si="12"/>
        <v>0.15</v>
      </c>
      <c r="J71" s="40">
        <f t="shared" si="13"/>
        <v>375300</v>
      </c>
      <c r="K71" s="41">
        <f t="shared" si="6"/>
        <v>1449667612.6133814</v>
      </c>
      <c r="L71" s="38">
        <f t="shared" si="8"/>
        <v>2714393514.7739778</v>
      </c>
      <c r="M71" s="42">
        <f t="shared" si="14"/>
        <v>271439351.4773978</v>
      </c>
      <c r="N71" s="43">
        <f t="shared" si="16"/>
        <v>22619945.956449818</v>
      </c>
      <c r="O71" s="10">
        <v>59</v>
      </c>
    </row>
    <row r="72" spans="2:15" ht="13.2" x14ac:dyDescent="0.25">
      <c r="B72" s="10"/>
      <c r="C72" s="33" t="s">
        <v>71</v>
      </c>
      <c r="D72" s="34">
        <v>60</v>
      </c>
      <c r="E72" s="35">
        <f t="shared" si="15"/>
        <v>72000</v>
      </c>
      <c r="F72" s="36">
        <f t="shared" si="7"/>
        <v>4520000</v>
      </c>
      <c r="G72" s="37">
        <f t="shared" si="9"/>
        <v>1449667612.6133814</v>
      </c>
      <c r="H72" s="38">
        <f t="shared" si="11"/>
        <v>1454187612.6133814</v>
      </c>
      <c r="I72" s="39">
        <f t="shared" si="12"/>
        <v>0.15</v>
      </c>
      <c r="J72" s="40">
        <f t="shared" si="13"/>
        <v>381375</v>
      </c>
      <c r="K72" s="41">
        <f t="shared" si="6"/>
        <v>1667441754.5053897</v>
      </c>
      <c r="L72" s="38">
        <f t="shared" si="8"/>
        <v>3121629367.1187711</v>
      </c>
      <c r="M72" s="42">
        <f t="shared" si="14"/>
        <v>312162936.71187711</v>
      </c>
      <c r="N72" s="43">
        <f t="shared" si="16"/>
        <v>26013578.059323091</v>
      </c>
      <c r="O72" s="10">
        <v>60</v>
      </c>
    </row>
    <row r="73" spans="2:15" ht="13.2" x14ac:dyDescent="0.25">
      <c r="H73" s="2"/>
    </row>
    <row r="74" spans="2:15" ht="13.2" x14ac:dyDescent="0.25">
      <c r="H74" s="2"/>
    </row>
    <row r="75" spans="2:15" ht="13.2" x14ac:dyDescent="0.25">
      <c r="H75" s="2"/>
    </row>
    <row r="76" spans="2:15" ht="13.2" x14ac:dyDescent="0.25">
      <c r="H76" s="2"/>
    </row>
    <row r="77" spans="2:15" ht="13.2" x14ac:dyDescent="0.25">
      <c r="H77" s="2"/>
    </row>
    <row r="78" spans="2:15" ht="13.2" x14ac:dyDescent="0.25">
      <c r="H78" s="2"/>
    </row>
    <row r="79" spans="2:15" ht="13.2" x14ac:dyDescent="0.25">
      <c r="H79" s="2"/>
    </row>
    <row r="80" spans="2:15" ht="13.2" x14ac:dyDescent="0.25">
      <c r="H80" s="2"/>
    </row>
    <row r="81" spans="8:8" ht="13.2" x14ac:dyDescent="0.25">
      <c r="H81" s="2"/>
    </row>
    <row r="82" spans="8:8" ht="13.2" x14ac:dyDescent="0.25">
      <c r="H82" s="2"/>
    </row>
    <row r="83" spans="8:8" ht="13.2" x14ac:dyDescent="0.25">
      <c r="H83" s="2"/>
    </row>
    <row r="84" spans="8:8" ht="13.2" x14ac:dyDescent="0.25">
      <c r="H84" s="2"/>
    </row>
    <row r="85" spans="8:8" ht="13.2" x14ac:dyDescent="0.25">
      <c r="H85" s="2"/>
    </row>
    <row r="86" spans="8:8" ht="13.2" x14ac:dyDescent="0.25">
      <c r="H86" s="2"/>
    </row>
    <row r="87" spans="8:8" ht="13.2" x14ac:dyDescent="0.25">
      <c r="H87" s="2"/>
    </row>
    <row r="88" spans="8:8" ht="13.2" x14ac:dyDescent="0.25">
      <c r="H88" s="2"/>
    </row>
    <row r="89" spans="8:8" ht="13.2" x14ac:dyDescent="0.25">
      <c r="H89" s="2"/>
    </row>
    <row r="90" spans="8:8" ht="13.2" x14ac:dyDescent="0.25">
      <c r="H90" s="2"/>
    </row>
    <row r="91" spans="8:8" ht="13.2" x14ac:dyDescent="0.25">
      <c r="H91" s="2"/>
    </row>
    <row r="92" spans="8:8" ht="13.2" x14ac:dyDescent="0.25">
      <c r="H92" s="2"/>
    </row>
    <row r="93" spans="8:8" ht="13.2" x14ac:dyDescent="0.25">
      <c r="H93" s="2"/>
    </row>
    <row r="94" spans="8:8" ht="13.2" x14ac:dyDescent="0.25">
      <c r="H94" s="2"/>
    </row>
    <row r="95" spans="8:8" ht="13.2" x14ac:dyDescent="0.25">
      <c r="H95" s="2"/>
    </row>
    <row r="96" spans="8:8" ht="13.2" x14ac:dyDescent="0.25">
      <c r="H96" s="2"/>
    </row>
    <row r="97" spans="8:8" ht="13.2" x14ac:dyDescent="0.25">
      <c r="H97" s="2"/>
    </row>
    <row r="98" spans="8:8" ht="13.2" x14ac:dyDescent="0.25">
      <c r="H98" s="2"/>
    </row>
    <row r="99" spans="8:8" ht="13.2" x14ac:dyDescent="0.25">
      <c r="H99" s="2"/>
    </row>
    <row r="100" spans="8:8" ht="13.2" x14ac:dyDescent="0.25">
      <c r="H100" s="2"/>
    </row>
    <row r="101" spans="8:8" ht="13.2" x14ac:dyDescent="0.25">
      <c r="H101" s="2"/>
    </row>
    <row r="102" spans="8:8" ht="13.2" x14ac:dyDescent="0.25">
      <c r="H102" s="2"/>
    </row>
    <row r="103" spans="8:8" ht="13.2" x14ac:dyDescent="0.25">
      <c r="H103" s="2"/>
    </row>
    <row r="104" spans="8:8" ht="13.2" x14ac:dyDescent="0.25">
      <c r="H104" s="2"/>
    </row>
    <row r="105" spans="8:8" ht="13.2" x14ac:dyDescent="0.25">
      <c r="H105" s="2"/>
    </row>
    <row r="106" spans="8:8" ht="13.2" x14ac:dyDescent="0.25">
      <c r="H106" s="2"/>
    </row>
    <row r="107" spans="8:8" ht="13.2" x14ac:dyDescent="0.25">
      <c r="H107" s="2"/>
    </row>
    <row r="108" spans="8:8" ht="13.2" x14ac:dyDescent="0.25">
      <c r="H108" s="2"/>
    </row>
    <row r="109" spans="8:8" ht="13.2" x14ac:dyDescent="0.25">
      <c r="H109" s="2"/>
    </row>
    <row r="110" spans="8:8" ht="13.2" x14ac:dyDescent="0.25">
      <c r="H110" s="2"/>
    </row>
    <row r="111" spans="8:8" ht="13.2" x14ac:dyDescent="0.25">
      <c r="H111" s="2"/>
    </row>
    <row r="112" spans="8:8" ht="13.2" x14ac:dyDescent="0.25">
      <c r="H112" s="2"/>
    </row>
    <row r="113" spans="8:8" ht="13.2" x14ac:dyDescent="0.25">
      <c r="H113" s="2"/>
    </row>
    <row r="114" spans="8:8" ht="13.2" x14ac:dyDescent="0.25">
      <c r="H114" s="2"/>
    </row>
    <row r="115" spans="8:8" ht="13.2" x14ac:dyDescent="0.25">
      <c r="H115" s="2"/>
    </row>
    <row r="116" spans="8:8" ht="13.2" x14ac:dyDescent="0.25">
      <c r="H116" s="2"/>
    </row>
    <row r="117" spans="8:8" ht="13.2" x14ac:dyDescent="0.25">
      <c r="H117" s="2"/>
    </row>
    <row r="118" spans="8:8" ht="13.2" x14ac:dyDescent="0.25">
      <c r="H118" s="2"/>
    </row>
    <row r="119" spans="8:8" ht="13.2" x14ac:dyDescent="0.25">
      <c r="H119" s="2"/>
    </row>
    <row r="120" spans="8:8" ht="13.2" x14ac:dyDescent="0.25">
      <c r="H120" s="2"/>
    </row>
    <row r="121" spans="8:8" ht="13.2" x14ac:dyDescent="0.25">
      <c r="H121" s="2"/>
    </row>
    <row r="122" spans="8:8" ht="13.2" x14ac:dyDescent="0.25">
      <c r="H122" s="2"/>
    </row>
    <row r="123" spans="8:8" ht="13.2" x14ac:dyDescent="0.25">
      <c r="H123" s="2"/>
    </row>
    <row r="124" spans="8:8" ht="13.2" x14ac:dyDescent="0.25">
      <c r="H124" s="2"/>
    </row>
    <row r="125" spans="8:8" ht="13.2" x14ac:dyDescent="0.25">
      <c r="H125" s="2"/>
    </row>
    <row r="126" spans="8:8" ht="13.2" x14ac:dyDescent="0.25">
      <c r="H126" s="2"/>
    </row>
    <row r="127" spans="8:8" ht="13.2" x14ac:dyDescent="0.25">
      <c r="H127" s="2"/>
    </row>
    <row r="128" spans="8:8" ht="13.2" x14ac:dyDescent="0.25">
      <c r="H128" s="2"/>
    </row>
    <row r="129" spans="8:8" ht="13.2" x14ac:dyDescent="0.25">
      <c r="H129" s="2"/>
    </row>
    <row r="130" spans="8:8" ht="13.2" x14ac:dyDescent="0.25">
      <c r="H130" s="2"/>
    </row>
    <row r="131" spans="8:8" ht="13.2" x14ac:dyDescent="0.25">
      <c r="H131" s="2"/>
    </row>
    <row r="132" spans="8:8" ht="13.2" x14ac:dyDescent="0.25">
      <c r="H132" s="2"/>
    </row>
    <row r="133" spans="8:8" ht="13.2" x14ac:dyDescent="0.25">
      <c r="H133" s="2"/>
    </row>
    <row r="134" spans="8:8" ht="13.2" x14ac:dyDescent="0.25">
      <c r="H134" s="2"/>
    </row>
    <row r="135" spans="8:8" ht="13.2" x14ac:dyDescent="0.25">
      <c r="H135" s="2"/>
    </row>
    <row r="136" spans="8:8" ht="13.2" x14ac:dyDescent="0.25">
      <c r="H136" s="2"/>
    </row>
    <row r="137" spans="8:8" ht="13.2" x14ac:dyDescent="0.25">
      <c r="H137" s="2"/>
    </row>
    <row r="138" spans="8:8" ht="13.2" x14ac:dyDescent="0.25">
      <c r="H138" s="2"/>
    </row>
    <row r="139" spans="8:8" ht="13.2" x14ac:dyDescent="0.25">
      <c r="H139" s="2"/>
    </row>
    <row r="140" spans="8:8" ht="13.2" x14ac:dyDescent="0.25">
      <c r="H140" s="2"/>
    </row>
    <row r="141" spans="8:8" ht="13.2" x14ac:dyDescent="0.25">
      <c r="H141" s="2"/>
    </row>
    <row r="142" spans="8:8" ht="13.2" x14ac:dyDescent="0.25">
      <c r="H142" s="2"/>
    </row>
    <row r="143" spans="8:8" ht="13.2" x14ac:dyDescent="0.25">
      <c r="H143" s="2"/>
    </row>
    <row r="144" spans="8:8" ht="13.2" x14ac:dyDescent="0.25">
      <c r="H144" s="2"/>
    </row>
    <row r="145" spans="8:8" ht="13.2" x14ac:dyDescent="0.25">
      <c r="H145" s="2"/>
    </row>
    <row r="146" spans="8:8" ht="13.2" x14ac:dyDescent="0.25">
      <c r="H146" s="2"/>
    </row>
    <row r="147" spans="8:8" ht="13.2" x14ac:dyDescent="0.25">
      <c r="H147" s="2"/>
    </row>
    <row r="148" spans="8:8" ht="13.2" x14ac:dyDescent="0.25">
      <c r="H148" s="2"/>
    </row>
    <row r="149" spans="8:8" ht="13.2" x14ac:dyDescent="0.25">
      <c r="H149" s="2"/>
    </row>
    <row r="150" spans="8:8" ht="13.2" x14ac:dyDescent="0.25">
      <c r="H150" s="2"/>
    </row>
    <row r="151" spans="8:8" ht="13.2" x14ac:dyDescent="0.25">
      <c r="H151" s="2"/>
    </row>
    <row r="152" spans="8:8" ht="13.2" x14ac:dyDescent="0.25">
      <c r="H152" s="2"/>
    </row>
    <row r="153" spans="8:8" ht="13.2" x14ac:dyDescent="0.25">
      <c r="H153" s="2"/>
    </row>
    <row r="154" spans="8:8" ht="13.2" x14ac:dyDescent="0.25">
      <c r="H154" s="2"/>
    </row>
    <row r="155" spans="8:8" ht="13.2" x14ac:dyDescent="0.25">
      <c r="H155" s="2"/>
    </row>
    <row r="156" spans="8:8" ht="13.2" x14ac:dyDescent="0.25">
      <c r="H156" s="2"/>
    </row>
    <row r="157" spans="8:8" ht="13.2" x14ac:dyDescent="0.25">
      <c r="H157" s="2"/>
    </row>
    <row r="158" spans="8:8" ht="13.2" x14ac:dyDescent="0.25">
      <c r="H158" s="2"/>
    </row>
    <row r="159" spans="8:8" ht="13.2" x14ac:dyDescent="0.25">
      <c r="H159" s="2"/>
    </row>
    <row r="160" spans="8:8" ht="13.2" x14ac:dyDescent="0.25">
      <c r="H160" s="2"/>
    </row>
    <row r="161" spans="8:8" ht="13.2" x14ac:dyDescent="0.25">
      <c r="H161" s="2"/>
    </row>
    <row r="162" spans="8:8" ht="13.2" x14ac:dyDescent="0.25">
      <c r="H162" s="2"/>
    </row>
    <row r="163" spans="8:8" ht="13.2" x14ac:dyDescent="0.25">
      <c r="H163" s="2"/>
    </row>
    <row r="164" spans="8:8" ht="13.2" x14ac:dyDescent="0.25">
      <c r="H164" s="2"/>
    </row>
    <row r="165" spans="8:8" ht="13.2" x14ac:dyDescent="0.25">
      <c r="H165" s="2"/>
    </row>
    <row r="166" spans="8:8" ht="13.2" x14ac:dyDescent="0.25">
      <c r="H166" s="2"/>
    </row>
    <row r="167" spans="8:8" ht="13.2" x14ac:dyDescent="0.25">
      <c r="H167" s="2"/>
    </row>
    <row r="168" spans="8:8" ht="13.2" x14ac:dyDescent="0.25">
      <c r="H168" s="2"/>
    </row>
    <row r="169" spans="8:8" ht="13.2" x14ac:dyDescent="0.25">
      <c r="H169" s="2"/>
    </row>
    <row r="170" spans="8:8" ht="13.2" x14ac:dyDescent="0.25">
      <c r="H170" s="2"/>
    </row>
    <row r="171" spans="8:8" ht="13.2" x14ac:dyDescent="0.25">
      <c r="H171" s="2"/>
    </row>
    <row r="172" spans="8:8" ht="13.2" x14ac:dyDescent="0.25">
      <c r="H172" s="2"/>
    </row>
    <row r="173" spans="8:8" ht="13.2" x14ac:dyDescent="0.25">
      <c r="H173" s="2"/>
    </row>
    <row r="174" spans="8:8" ht="13.2" x14ac:dyDescent="0.25">
      <c r="H174" s="2"/>
    </row>
    <row r="175" spans="8:8" ht="13.2" x14ac:dyDescent="0.25">
      <c r="H175" s="2"/>
    </row>
    <row r="176" spans="8:8" ht="13.2" x14ac:dyDescent="0.25">
      <c r="H176" s="2"/>
    </row>
    <row r="177" spans="8:8" ht="13.2" x14ac:dyDescent="0.25">
      <c r="H177" s="2"/>
    </row>
    <row r="178" spans="8:8" ht="13.2" x14ac:dyDescent="0.25">
      <c r="H178" s="2"/>
    </row>
    <row r="179" spans="8:8" ht="13.2" x14ac:dyDescent="0.25">
      <c r="H179" s="2"/>
    </row>
    <row r="180" spans="8:8" ht="13.2" x14ac:dyDescent="0.25">
      <c r="H180" s="2"/>
    </row>
    <row r="181" spans="8:8" ht="13.2" x14ac:dyDescent="0.25">
      <c r="H181" s="2"/>
    </row>
    <row r="182" spans="8:8" ht="13.2" x14ac:dyDescent="0.25">
      <c r="H182" s="2"/>
    </row>
    <row r="183" spans="8:8" ht="13.2" x14ac:dyDescent="0.25">
      <c r="H183" s="2"/>
    </row>
    <row r="184" spans="8:8" ht="13.2" x14ac:dyDescent="0.25">
      <c r="H184" s="2"/>
    </row>
    <row r="185" spans="8:8" ht="13.2" x14ac:dyDescent="0.25">
      <c r="H185" s="2"/>
    </row>
    <row r="186" spans="8:8" ht="13.2" x14ac:dyDescent="0.25">
      <c r="H186" s="2"/>
    </row>
    <row r="187" spans="8:8" ht="13.2" x14ac:dyDescent="0.25">
      <c r="H187" s="2"/>
    </row>
    <row r="188" spans="8:8" ht="13.2" x14ac:dyDescent="0.25">
      <c r="H188" s="2"/>
    </row>
    <row r="189" spans="8:8" ht="13.2" x14ac:dyDescent="0.25">
      <c r="H189" s="2"/>
    </row>
    <row r="190" spans="8:8" ht="13.2" x14ac:dyDescent="0.25">
      <c r="H190" s="2"/>
    </row>
    <row r="191" spans="8:8" ht="13.2" x14ac:dyDescent="0.25">
      <c r="H191" s="2"/>
    </row>
    <row r="192" spans="8:8" ht="13.2" x14ac:dyDescent="0.25">
      <c r="H192" s="2"/>
    </row>
    <row r="193" spans="8:8" ht="13.2" x14ac:dyDescent="0.25">
      <c r="H193" s="2"/>
    </row>
    <row r="194" spans="8:8" ht="13.2" x14ac:dyDescent="0.25">
      <c r="H194" s="2"/>
    </row>
    <row r="195" spans="8:8" ht="13.2" x14ac:dyDescent="0.25">
      <c r="H195" s="2"/>
    </row>
    <row r="196" spans="8:8" ht="13.2" x14ac:dyDescent="0.25">
      <c r="H196" s="2"/>
    </row>
    <row r="197" spans="8:8" ht="13.2" x14ac:dyDescent="0.25">
      <c r="H197" s="2"/>
    </row>
    <row r="198" spans="8:8" ht="13.2" x14ac:dyDescent="0.25">
      <c r="H198" s="2"/>
    </row>
    <row r="199" spans="8:8" ht="13.2" x14ac:dyDescent="0.25">
      <c r="H199" s="2"/>
    </row>
    <row r="200" spans="8:8" ht="13.2" x14ac:dyDescent="0.25">
      <c r="H200" s="2"/>
    </row>
    <row r="201" spans="8:8" ht="13.2" x14ac:dyDescent="0.25">
      <c r="H201" s="2"/>
    </row>
    <row r="202" spans="8:8" ht="13.2" x14ac:dyDescent="0.25">
      <c r="H202" s="2"/>
    </row>
    <row r="203" spans="8:8" ht="13.2" x14ac:dyDescent="0.25">
      <c r="H203" s="2"/>
    </row>
    <row r="204" spans="8:8" ht="13.2" x14ac:dyDescent="0.25">
      <c r="H204" s="2"/>
    </row>
    <row r="205" spans="8:8" ht="13.2" x14ac:dyDescent="0.25">
      <c r="H205" s="2"/>
    </row>
    <row r="206" spans="8:8" ht="13.2" x14ac:dyDescent="0.25">
      <c r="H206" s="2"/>
    </row>
    <row r="207" spans="8:8" ht="13.2" x14ac:dyDescent="0.25">
      <c r="H207" s="2"/>
    </row>
    <row r="208" spans="8:8" ht="13.2" x14ac:dyDescent="0.25">
      <c r="H208" s="2"/>
    </row>
    <row r="209" spans="8:8" ht="13.2" x14ac:dyDescent="0.25">
      <c r="H209" s="2"/>
    </row>
    <row r="210" spans="8:8" ht="13.2" x14ac:dyDescent="0.25">
      <c r="H210" s="2"/>
    </row>
    <row r="211" spans="8:8" ht="13.2" x14ac:dyDescent="0.25">
      <c r="H211" s="2"/>
    </row>
    <row r="212" spans="8:8" ht="13.2" x14ac:dyDescent="0.25">
      <c r="H212" s="2"/>
    </row>
    <row r="213" spans="8:8" ht="13.2" x14ac:dyDescent="0.25">
      <c r="H213" s="2"/>
    </row>
    <row r="214" spans="8:8" ht="13.2" x14ac:dyDescent="0.25">
      <c r="H214" s="2"/>
    </row>
    <row r="215" spans="8:8" ht="13.2" x14ac:dyDescent="0.25">
      <c r="H215" s="2"/>
    </row>
    <row r="216" spans="8:8" ht="13.2" x14ac:dyDescent="0.25">
      <c r="H216" s="2"/>
    </row>
    <row r="217" spans="8:8" ht="13.2" x14ac:dyDescent="0.25">
      <c r="H217" s="2"/>
    </row>
    <row r="218" spans="8:8" ht="13.2" x14ac:dyDescent="0.25">
      <c r="H218" s="2"/>
    </row>
    <row r="219" spans="8:8" ht="13.2" x14ac:dyDescent="0.25">
      <c r="H219" s="2"/>
    </row>
    <row r="220" spans="8:8" ht="13.2" x14ac:dyDescent="0.25">
      <c r="H220" s="2"/>
    </row>
    <row r="221" spans="8:8" ht="13.2" x14ac:dyDescent="0.25">
      <c r="H221" s="2"/>
    </row>
    <row r="222" spans="8:8" ht="13.2" x14ac:dyDescent="0.25">
      <c r="H222" s="2"/>
    </row>
    <row r="223" spans="8:8" ht="13.2" x14ac:dyDescent="0.25">
      <c r="H223" s="2"/>
    </row>
    <row r="224" spans="8:8" ht="13.2" x14ac:dyDescent="0.25">
      <c r="H224" s="2"/>
    </row>
    <row r="225" spans="8:8" ht="13.2" x14ac:dyDescent="0.25">
      <c r="H225" s="2"/>
    </row>
    <row r="226" spans="8:8" ht="13.2" x14ac:dyDescent="0.25">
      <c r="H226" s="2"/>
    </row>
    <row r="227" spans="8:8" ht="13.2" x14ac:dyDescent="0.25">
      <c r="H227" s="2"/>
    </row>
    <row r="228" spans="8:8" ht="13.2" x14ac:dyDescent="0.25">
      <c r="H228" s="2"/>
    </row>
    <row r="229" spans="8:8" ht="13.2" x14ac:dyDescent="0.25">
      <c r="H229" s="2"/>
    </row>
    <row r="230" spans="8:8" ht="13.2" x14ac:dyDescent="0.25">
      <c r="H230" s="2"/>
    </row>
    <row r="231" spans="8:8" ht="13.2" x14ac:dyDescent="0.25">
      <c r="H231" s="2"/>
    </row>
    <row r="232" spans="8:8" ht="13.2" x14ac:dyDescent="0.25">
      <c r="H232" s="2"/>
    </row>
    <row r="233" spans="8:8" ht="13.2" x14ac:dyDescent="0.25">
      <c r="H233" s="2"/>
    </row>
    <row r="234" spans="8:8" ht="13.2" x14ac:dyDescent="0.25">
      <c r="H234" s="2"/>
    </row>
    <row r="235" spans="8:8" ht="13.2" x14ac:dyDescent="0.25">
      <c r="H235" s="2"/>
    </row>
    <row r="236" spans="8:8" ht="13.2" x14ac:dyDescent="0.25">
      <c r="H236" s="2"/>
    </row>
    <row r="237" spans="8:8" ht="13.2" x14ac:dyDescent="0.25">
      <c r="H237" s="2"/>
    </row>
    <row r="238" spans="8:8" ht="13.2" x14ac:dyDescent="0.25">
      <c r="H238" s="2"/>
    </row>
    <row r="239" spans="8:8" ht="13.2" x14ac:dyDescent="0.25">
      <c r="H239" s="2"/>
    </row>
    <row r="240" spans="8:8" ht="13.2" x14ac:dyDescent="0.25">
      <c r="H240" s="2"/>
    </row>
    <row r="241" spans="8:8" ht="13.2" x14ac:dyDescent="0.25">
      <c r="H241" s="2"/>
    </row>
    <row r="242" spans="8:8" ht="13.2" x14ac:dyDescent="0.25">
      <c r="H242" s="2"/>
    </row>
    <row r="243" spans="8:8" ht="13.2" x14ac:dyDescent="0.25">
      <c r="H243" s="2"/>
    </row>
    <row r="244" spans="8:8" ht="13.2" x14ac:dyDescent="0.25">
      <c r="H244" s="2"/>
    </row>
    <row r="245" spans="8:8" ht="13.2" x14ac:dyDescent="0.25">
      <c r="H245" s="2"/>
    </row>
    <row r="246" spans="8:8" ht="13.2" x14ac:dyDescent="0.25">
      <c r="H246" s="2"/>
    </row>
    <row r="247" spans="8:8" ht="13.2" x14ac:dyDescent="0.25">
      <c r="H247" s="2"/>
    </row>
    <row r="248" spans="8:8" ht="13.2" x14ac:dyDescent="0.25">
      <c r="H248" s="2"/>
    </row>
    <row r="249" spans="8:8" ht="13.2" x14ac:dyDescent="0.25">
      <c r="H249" s="2"/>
    </row>
    <row r="250" spans="8:8" ht="13.2" x14ac:dyDescent="0.25">
      <c r="H250" s="2"/>
    </row>
    <row r="251" spans="8:8" ht="13.2" x14ac:dyDescent="0.25">
      <c r="H251" s="2"/>
    </row>
    <row r="252" spans="8:8" ht="13.2" x14ac:dyDescent="0.25">
      <c r="H252" s="2"/>
    </row>
    <row r="253" spans="8:8" ht="13.2" x14ac:dyDescent="0.25">
      <c r="H253" s="2"/>
    </row>
    <row r="254" spans="8:8" ht="13.2" x14ac:dyDescent="0.25">
      <c r="H254" s="2"/>
    </row>
    <row r="255" spans="8:8" ht="13.2" x14ac:dyDescent="0.25">
      <c r="H255" s="2"/>
    </row>
    <row r="256" spans="8:8" ht="13.2" x14ac:dyDescent="0.25">
      <c r="H256" s="2"/>
    </row>
    <row r="257" spans="8:8" ht="13.2" x14ac:dyDescent="0.25">
      <c r="H257" s="2"/>
    </row>
    <row r="258" spans="8:8" ht="13.2" x14ac:dyDescent="0.25">
      <c r="H258" s="2"/>
    </row>
    <row r="259" spans="8:8" ht="13.2" x14ac:dyDescent="0.25">
      <c r="H259" s="2"/>
    </row>
    <row r="260" spans="8:8" ht="13.2" x14ac:dyDescent="0.25">
      <c r="H260" s="2"/>
    </row>
    <row r="261" spans="8:8" ht="13.2" x14ac:dyDescent="0.25">
      <c r="H261" s="2"/>
    </row>
    <row r="262" spans="8:8" ht="13.2" x14ac:dyDescent="0.25">
      <c r="H262" s="2"/>
    </row>
    <row r="263" spans="8:8" ht="13.2" x14ac:dyDescent="0.25">
      <c r="H263" s="2"/>
    </row>
    <row r="264" spans="8:8" ht="13.2" x14ac:dyDescent="0.25">
      <c r="H264" s="2"/>
    </row>
    <row r="265" spans="8:8" ht="13.2" x14ac:dyDescent="0.25">
      <c r="H265" s="2"/>
    </row>
    <row r="266" spans="8:8" ht="13.2" x14ac:dyDescent="0.25">
      <c r="H266" s="2"/>
    </row>
    <row r="267" spans="8:8" ht="13.2" x14ac:dyDescent="0.25">
      <c r="H267" s="2"/>
    </row>
    <row r="268" spans="8:8" ht="13.2" x14ac:dyDescent="0.25">
      <c r="H268" s="2"/>
    </row>
    <row r="269" spans="8:8" ht="13.2" x14ac:dyDescent="0.25">
      <c r="H269" s="2"/>
    </row>
    <row r="270" spans="8:8" ht="13.2" x14ac:dyDescent="0.25">
      <c r="H270" s="2"/>
    </row>
    <row r="271" spans="8:8" ht="13.2" x14ac:dyDescent="0.25">
      <c r="H271" s="2"/>
    </row>
    <row r="272" spans="8:8" ht="13.2" x14ac:dyDescent="0.25">
      <c r="H272" s="2"/>
    </row>
    <row r="273" spans="8:8" ht="13.2" x14ac:dyDescent="0.25">
      <c r="H273" s="2"/>
    </row>
    <row r="274" spans="8:8" ht="13.2" x14ac:dyDescent="0.25">
      <c r="H274" s="2"/>
    </row>
    <row r="275" spans="8:8" ht="13.2" x14ac:dyDescent="0.25">
      <c r="H275" s="2"/>
    </row>
    <row r="276" spans="8:8" ht="13.2" x14ac:dyDescent="0.25">
      <c r="H276" s="2"/>
    </row>
    <row r="277" spans="8:8" ht="13.2" x14ac:dyDescent="0.25">
      <c r="H277" s="2"/>
    </row>
    <row r="278" spans="8:8" ht="13.2" x14ac:dyDescent="0.25">
      <c r="H278" s="2"/>
    </row>
    <row r="279" spans="8:8" ht="13.2" x14ac:dyDescent="0.25">
      <c r="H279" s="2"/>
    </row>
    <row r="280" spans="8:8" ht="13.2" x14ac:dyDescent="0.25">
      <c r="H280" s="2"/>
    </row>
    <row r="281" spans="8:8" ht="13.2" x14ac:dyDescent="0.25">
      <c r="H281" s="2"/>
    </row>
    <row r="282" spans="8:8" ht="13.2" x14ac:dyDescent="0.25">
      <c r="H282" s="2"/>
    </row>
    <row r="283" spans="8:8" ht="13.2" x14ac:dyDescent="0.25">
      <c r="H283" s="2"/>
    </row>
    <row r="284" spans="8:8" ht="13.2" x14ac:dyDescent="0.25">
      <c r="H284" s="2"/>
    </row>
    <row r="285" spans="8:8" ht="13.2" x14ac:dyDescent="0.25">
      <c r="H285" s="2"/>
    </row>
    <row r="286" spans="8:8" ht="13.2" x14ac:dyDescent="0.25">
      <c r="H286" s="2"/>
    </row>
    <row r="287" spans="8:8" ht="13.2" x14ac:dyDescent="0.25">
      <c r="H287" s="2"/>
    </row>
    <row r="288" spans="8:8" ht="13.2" x14ac:dyDescent="0.25">
      <c r="H288" s="2"/>
    </row>
    <row r="289" spans="8:8" ht="13.2" x14ac:dyDescent="0.25">
      <c r="H289" s="2"/>
    </row>
    <row r="290" spans="8:8" ht="13.2" x14ac:dyDescent="0.25">
      <c r="H290" s="2"/>
    </row>
    <row r="291" spans="8:8" ht="13.2" x14ac:dyDescent="0.25">
      <c r="H291" s="2"/>
    </row>
    <row r="292" spans="8:8" ht="13.2" x14ac:dyDescent="0.25">
      <c r="H292" s="2"/>
    </row>
    <row r="293" spans="8:8" ht="13.2" x14ac:dyDescent="0.25">
      <c r="H293" s="2"/>
    </row>
    <row r="294" spans="8:8" ht="13.2" x14ac:dyDescent="0.25">
      <c r="H294" s="2"/>
    </row>
    <row r="295" spans="8:8" ht="13.2" x14ac:dyDescent="0.25">
      <c r="H295" s="2"/>
    </row>
    <row r="296" spans="8:8" ht="13.2" x14ac:dyDescent="0.25">
      <c r="H296" s="2"/>
    </row>
    <row r="297" spans="8:8" ht="13.2" x14ac:dyDescent="0.25">
      <c r="H297" s="2"/>
    </row>
    <row r="298" spans="8:8" ht="13.2" x14ac:dyDescent="0.25">
      <c r="H298" s="2"/>
    </row>
    <row r="299" spans="8:8" ht="13.2" x14ac:dyDescent="0.25">
      <c r="H299" s="2"/>
    </row>
    <row r="300" spans="8:8" ht="13.2" x14ac:dyDescent="0.25">
      <c r="H300" s="2"/>
    </row>
    <row r="301" spans="8:8" ht="13.2" x14ac:dyDescent="0.25">
      <c r="H301" s="2"/>
    </row>
    <row r="302" spans="8:8" ht="13.2" x14ac:dyDescent="0.25">
      <c r="H302" s="2"/>
    </row>
    <row r="303" spans="8:8" ht="13.2" x14ac:dyDescent="0.25">
      <c r="H303" s="2"/>
    </row>
    <row r="304" spans="8:8" ht="13.2" x14ac:dyDescent="0.25">
      <c r="H304" s="2"/>
    </row>
    <row r="305" spans="8:8" ht="13.2" x14ac:dyDescent="0.25">
      <c r="H305" s="2"/>
    </row>
    <row r="306" spans="8:8" ht="13.2" x14ac:dyDescent="0.25">
      <c r="H306" s="2"/>
    </row>
    <row r="307" spans="8:8" ht="13.2" x14ac:dyDescent="0.25">
      <c r="H307" s="2"/>
    </row>
    <row r="308" spans="8:8" ht="13.2" x14ac:dyDescent="0.25">
      <c r="H308" s="2"/>
    </row>
    <row r="309" spans="8:8" ht="13.2" x14ac:dyDescent="0.25">
      <c r="H309" s="2"/>
    </row>
    <row r="310" spans="8:8" ht="13.2" x14ac:dyDescent="0.25">
      <c r="H310" s="2"/>
    </row>
    <row r="311" spans="8:8" ht="13.2" x14ac:dyDescent="0.25">
      <c r="H311" s="2"/>
    </row>
    <row r="312" spans="8:8" ht="13.2" x14ac:dyDescent="0.25">
      <c r="H312" s="2"/>
    </row>
    <row r="313" spans="8:8" ht="13.2" x14ac:dyDescent="0.25">
      <c r="H313" s="2"/>
    </row>
    <row r="314" spans="8:8" ht="13.2" x14ac:dyDescent="0.25">
      <c r="H314" s="2"/>
    </row>
    <row r="315" spans="8:8" ht="13.2" x14ac:dyDescent="0.25">
      <c r="H315" s="2"/>
    </row>
    <row r="316" spans="8:8" ht="13.2" x14ac:dyDescent="0.25">
      <c r="H316" s="2"/>
    </row>
    <row r="317" spans="8:8" ht="13.2" x14ac:dyDescent="0.25">
      <c r="H317" s="2"/>
    </row>
    <row r="318" spans="8:8" ht="13.2" x14ac:dyDescent="0.25">
      <c r="H318" s="2"/>
    </row>
    <row r="319" spans="8:8" ht="13.2" x14ac:dyDescent="0.25">
      <c r="H319" s="2"/>
    </row>
    <row r="320" spans="8:8" ht="13.2" x14ac:dyDescent="0.25">
      <c r="H320" s="2"/>
    </row>
    <row r="321" spans="8:8" ht="13.2" x14ac:dyDescent="0.25">
      <c r="H321" s="2"/>
    </row>
    <row r="322" spans="8:8" ht="13.2" x14ac:dyDescent="0.25">
      <c r="H322" s="2"/>
    </row>
    <row r="323" spans="8:8" ht="13.2" x14ac:dyDescent="0.25">
      <c r="H323" s="2"/>
    </row>
    <row r="324" spans="8:8" ht="13.2" x14ac:dyDescent="0.25">
      <c r="H324" s="2"/>
    </row>
    <row r="325" spans="8:8" ht="13.2" x14ac:dyDescent="0.25">
      <c r="H325" s="2"/>
    </row>
    <row r="326" spans="8:8" ht="13.2" x14ac:dyDescent="0.25">
      <c r="H326" s="2"/>
    </row>
    <row r="327" spans="8:8" ht="13.2" x14ac:dyDescent="0.25">
      <c r="H327" s="2"/>
    </row>
    <row r="328" spans="8:8" ht="13.2" x14ac:dyDescent="0.25">
      <c r="H328" s="2"/>
    </row>
    <row r="329" spans="8:8" ht="13.2" x14ac:dyDescent="0.25">
      <c r="H329" s="2"/>
    </row>
    <row r="330" spans="8:8" ht="13.2" x14ac:dyDescent="0.25">
      <c r="H330" s="2"/>
    </row>
    <row r="331" spans="8:8" ht="13.2" x14ac:dyDescent="0.25">
      <c r="H331" s="2"/>
    </row>
    <row r="332" spans="8:8" ht="13.2" x14ac:dyDescent="0.25">
      <c r="H332" s="2"/>
    </row>
    <row r="333" spans="8:8" ht="13.2" x14ac:dyDescent="0.25">
      <c r="H333" s="2"/>
    </row>
    <row r="334" spans="8:8" ht="13.2" x14ac:dyDescent="0.25">
      <c r="H334" s="2"/>
    </row>
    <row r="335" spans="8:8" ht="13.2" x14ac:dyDescent="0.25">
      <c r="H335" s="2"/>
    </row>
    <row r="336" spans="8:8" ht="13.2" x14ac:dyDescent="0.25">
      <c r="H336" s="2"/>
    </row>
    <row r="337" spans="8:8" ht="13.2" x14ac:dyDescent="0.25">
      <c r="H337" s="2"/>
    </row>
    <row r="338" spans="8:8" ht="13.2" x14ac:dyDescent="0.25">
      <c r="H338" s="2"/>
    </row>
    <row r="339" spans="8:8" ht="13.2" x14ac:dyDescent="0.25">
      <c r="H339" s="2"/>
    </row>
    <row r="340" spans="8:8" ht="13.2" x14ac:dyDescent="0.25">
      <c r="H340" s="2"/>
    </row>
    <row r="341" spans="8:8" ht="13.2" x14ac:dyDescent="0.25">
      <c r="H341" s="2"/>
    </row>
    <row r="342" spans="8:8" ht="13.2" x14ac:dyDescent="0.25">
      <c r="H342" s="2"/>
    </row>
    <row r="343" spans="8:8" ht="13.2" x14ac:dyDescent="0.25">
      <c r="H343" s="2"/>
    </row>
    <row r="344" spans="8:8" ht="13.2" x14ac:dyDescent="0.25">
      <c r="H344" s="2"/>
    </row>
    <row r="345" spans="8:8" ht="13.2" x14ac:dyDescent="0.25">
      <c r="H345" s="2"/>
    </row>
    <row r="346" spans="8:8" ht="13.2" x14ac:dyDescent="0.25">
      <c r="H346" s="2"/>
    </row>
    <row r="347" spans="8:8" ht="13.2" x14ac:dyDescent="0.25">
      <c r="H347" s="2"/>
    </row>
    <row r="348" spans="8:8" ht="13.2" x14ac:dyDescent="0.25">
      <c r="H348" s="2"/>
    </row>
    <row r="349" spans="8:8" ht="13.2" x14ac:dyDescent="0.25">
      <c r="H349" s="2"/>
    </row>
    <row r="350" spans="8:8" ht="13.2" x14ac:dyDescent="0.25">
      <c r="H350" s="2"/>
    </row>
    <row r="351" spans="8:8" ht="13.2" x14ac:dyDescent="0.25">
      <c r="H351" s="2"/>
    </row>
    <row r="352" spans="8:8" ht="13.2" x14ac:dyDescent="0.25">
      <c r="H352" s="2"/>
    </row>
    <row r="353" spans="8:8" ht="13.2" x14ac:dyDescent="0.25">
      <c r="H353" s="2"/>
    </row>
    <row r="354" spans="8:8" ht="13.2" x14ac:dyDescent="0.25">
      <c r="H354" s="2"/>
    </row>
    <row r="355" spans="8:8" ht="13.2" x14ac:dyDescent="0.25">
      <c r="H355" s="2"/>
    </row>
    <row r="356" spans="8:8" ht="13.2" x14ac:dyDescent="0.25">
      <c r="H356" s="2"/>
    </row>
    <row r="357" spans="8:8" ht="13.2" x14ac:dyDescent="0.25">
      <c r="H357" s="2"/>
    </row>
    <row r="358" spans="8:8" ht="13.2" x14ac:dyDescent="0.25">
      <c r="H358" s="2"/>
    </row>
    <row r="359" spans="8:8" ht="13.2" x14ac:dyDescent="0.25">
      <c r="H359" s="2"/>
    </row>
    <row r="360" spans="8:8" ht="13.2" x14ac:dyDescent="0.25">
      <c r="H360" s="2"/>
    </row>
    <row r="361" spans="8:8" ht="13.2" x14ac:dyDescent="0.25">
      <c r="H361" s="2"/>
    </row>
    <row r="362" spans="8:8" ht="13.2" x14ac:dyDescent="0.25">
      <c r="H362" s="2"/>
    </row>
    <row r="363" spans="8:8" ht="13.2" x14ac:dyDescent="0.25">
      <c r="H363" s="2"/>
    </row>
    <row r="364" spans="8:8" ht="13.2" x14ac:dyDescent="0.25">
      <c r="H364" s="2"/>
    </row>
    <row r="365" spans="8:8" ht="13.2" x14ac:dyDescent="0.25">
      <c r="H365" s="2"/>
    </row>
    <row r="366" spans="8:8" ht="13.2" x14ac:dyDescent="0.25">
      <c r="H366" s="2"/>
    </row>
    <row r="367" spans="8:8" ht="13.2" x14ac:dyDescent="0.25">
      <c r="H367" s="2"/>
    </row>
    <row r="368" spans="8:8" ht="13.2" x14ac:dyDescent="0.25">
      <c r="H368" s="2"/>
    </row>
    <row r="369" spans="8:8" ht="13.2" x14ac:dyDescent="0.25">
      <c r="H369" s="2"/>
    </row>
    <row r="370" spans="8:8" ht="13.2" x14ac:dyDescent="0.25">
      <c r="H370" s="2"/>
    </row>
    <row r="371" spans="8:8" ht="13.2" x14ac:dyDescent="0.25">
      <c r="H371" s="2"/>
    </row>
    <row r="372" spans="8:8" ht="13.2" x14ac:dyDescent="0.25">
      <c r="H372" s="2"/>
    </row>
    <row r="373" spans="8:8" ht="13.2" x14ac:dyDescent="0.25">
      <c r="H373" s="2"/>
    </row>
    <row r="374" spans="8:8" ht="13.2" x14ac:dyDescent="0.25">
      <c r="H374" s="2"/>
    </row>
    <row r="375" spans="8:8" ht="13.2" x14ac:dyDescent="0.25">
      <c r="H375" s="2"/>
    </row>
    <row r="376" spans="8:8" ht="13.2" x14ac:dyDescent="0.25">
      <c r="H376" s="2"/>
    </row>
    <row r="377" spans="8:8" ht="13.2" x14ac:dyDescent="0.25">
      <c r="H377" s="2"/>
    </row>
    <row r="378" spans="8:8" ht="13.2" x14ac:dyDescent="0.25">
      <c r="H378" s="2"/>
    </row>
    <row r="379" spans="8:8" ht="13.2" x14ac:dyDescent="0.25">
      <c r="H379" s="2"/>
    </row>
    <row r="380" spans="8:8" ht="13.2" x14ac:dyDescent="0.25">
      <c r="H380" s="2"/>
    </row>
    <row r="381" spans="8:8" ht="13.2" x14ac:dyDescent="0.25">
      <c r="H381" s="2"/>
    </row>
    <row r="382" spans="8:8" ht="13.2" x14ac:dyDescent="0.25">
      <c r="H382" s="2"/>
    </row>
    <row r="383" spans="8:8" ht="13.2" x14ac:dyDescent="0.25">
      <c r="H383" s="2"/>
    </row>
    <row r="384" spans="8:8" ht="13.2" x14ac:dyDescent="0.25">
      <c r="H384" s="2"/>
    </row>
    <row r="385" spans="8:8" ht="13.2" x14ac:dyDescent="0.25">
      <c r="H385" s="2"/>
    </row>
    <row r="386" spans="8:8" ht="13.2" x14ac:dyDescent="0.25">
      <c r="H386" s="2"/>
    </row>
    <row r="387" spans="8:8" ht="13.2" x14ac:dyDescent="0.25">
      <c r="H387" s="2"/>
    </row>
    <row r="388" spans="8:8" ht="13.2" x14ac:dyDescent="0.25">
      <c r="H388" s="2"/>
    </row>
    <row r="389" spans="8:8" ht="13.2" x14ac:dyDescent="0.25">
      <c r="H389" s="2"/>
    </row>
    <row r="390" spans="8:8" ht="13.2" x14ac:dyDescent="0.25">
      <c r="H390" s="2"/>
    </row>
    <row r="391" spans="8:8" ht="13.2" x14ac:dyDescent="0.25">
      <c r="H391" s="2"/>
    </row>
    <row r="392" spans="8:8" ht="13.2" x14ac:dyDescent="0.25">
      <c r="H392" s="2"/>
    </row>
    <row r="393" spans="8:8" ht="13.2" x14ac:dyDescent="0.25">
      <c r="H393" s="2"/>
    </row>
    <row r="394" spans="8:8" ht="13.2" x14ac:dyDescent="0.25">
      <c r="H394" s="2"/>
    </row>
    <row r="395" spans="8:8" ht="13.2" x14ac:dyDescent="0.25">
      <c r="H395" s="2"/>
    </row>
    <row r="396" spans="8:8" ht="13.2" x14ac:dyDescent="0.25">
      <c r="H396" s="2"/>
    </row>
    <row r="397" spans="8:8" ht="13.2" x14ac:dyDescent="0.25">
      <c r="H397" s="2"/>
    </row>
    <row r="398" spans="8:8" ht="13.2" x14ac:dyDescent="0.25">
      <c r="H398" s="2"/>
    </row>
    <row r="399" spans="8:8" ht="13.2" x14ac:dyDescent="0.25">
      <c r="H399" s="2"/>
    </row>
    <row r="400" spans="8:8" ht="13.2" x14ac:dyDescent="0.25">
      <c r="H400" s="2"/>
    </row>
    <row r="401" spans="8:8" ht="13.2" x14ac:dyDescent="0.25">
      <c r="H401" s="2"/>
    </row>
    <row r="402" spans="8:8" ht="13.2" x14ac:dyDescent="0.25">
      <c r="H402" s="2"/>
    </row>
    <row r="403" spans="8:8" ht="13.2" x14ac:dyDescent="0.25">
      <c r="H403" s="2"/>
    </row>
    <row r="404" spans="8:8" ht="13.2" x14ac:dyDescent="0.25">
      <c r="H404" s="2"/>
    </row>
    <row r="405" spans="8:8" ht="13.2" x14ac:dyDescent="0.25">
      <c r="H405" s="2"/>
    </row>
    <row r="406" spans="8:8" ht="13.2" x14ac:dyDescent="0.25">
      <c r="H406" s="2"/>
    </row>
    <row r="407" spans="8:8" ht="13.2" x14ac:dyDescent="0.25">
      <c r="H407" s="2"/>
    </row>
    <row r="408" spans="8:8" ht="13.2" x14ac:dyDescent="0.25">
      <c r="H408" s="2"/>
    </row>
    <row r="409" spans="8:8" ht="13.2" x14ac:dyDescent="0.25">
      <c r="H409" s="2"/>
    </row>
    <row r="410" spans="8:8" ht="13.2" x14ac:dyDescent="0.25">
      <c r="H410" s="2"/>
    </row>
    <row r="411" spans="8:8" ht="13.2" x14ac:dyDescent="0.25">
      <c r="H411" s="2"/>
    </row>
    <row r="412" spans="8:8" ht="13.2" x14ac:dyDescent="0.25">
      <c r="H412" s="2"/>
    </row>
    <row r="413" spans="8:8" ht="13.2" x14ac:dyDescent="0.25">
      <c r="H413" s="2"/>
    </row>
    <row r="414" spans="8:8" ht="13.2" x14ac:dyDescent="0.25">
      <c r="H414" s="2"/>
    </row>
    <row r="415" spans="8:8" ht="13.2" x14ac:dyDescent="0.25">
      <c r="H415" s="2"/>
    </row>
    <row r="416" spans="8:8" ht="13.2" x14ac:dyDescent="0.25">
      <c r="H416" s="2"/>
    </row>
    <row r="417" spans="8:8" ht="13.2" x14ac:dyDescent="0.25">
      <c r="H417" s="2"/>
    </row>
    <row r="418" spans="8:8" ht="13.2" x14ac:dyDescent="0.25">
      <c r="H418" s="2"/>
    </row>
    <row r="419" spans="8:8" ht="13.2" x14ac:dyDescent="0.25">
      <c r="H419" s="2"/>
    </row>
    <row r="420" spans="8:8" ht="13.2" x14ac:dyDescent="0.25">
      <c r="H420" s="2"/>
    </row>
    <row r="421" spans="8:8" ht="13.2" x14ac:dyDescent="0.25">
      <c r="H421" s="2"/>
    </row>
    <row r="422" spans="8:8" ht="13.2" x14ac:dyDescent="0.25">
      <c r="H422" s="2"/>
    </row>
    <row r="423" spans="8:8" ht="13.2" x14ac:dyDescent="0.25">
      <c r="H423" s="2"/>
    </row>
    <row r="424" spans="8:8" ht="13.2" x14ac:dyDescent="0.25">
      <c r="H424" s="2"/>
    </row>
    <row r="425" spans="8:8" ht="13.2" x14ac:dyDescent="0.25">
      <c r="H425" s="2"/>
    </row>
    <row r="426" spans="8:8" ht="13.2" x14ac:dyDescent="0.25">
      <c r="H426" s="2"/>
    </row>
    <row r="427" spans="8:8" ht="13.2" x14ac:dyDescent="0.25">
      <c r="H427" s="2"/>
    </row>
    <row r="428" spans="8:8" ht="13.2" x14ac:dyDescent="0.25">
      <c r="H428" s="2"/>
    </row>
    <row r="429" spans="8:8" ht="13.2" x14ac:dyDescent="0.25">
      <c r="H429" s="2"/>
    </row>
    <row r="430" spans="8:8" ht="13.2" x14ac:dyDescent="0.25">
      <c r="H430" s="2"/>
    </row>
    <row r="431" spans="8:8" ht="13.2" x14ac:dyDescent="0.25">
      <c r="H431" s="2"/>
    </row>
    <row r="432" spans="8:8" ht="13.2" x14ac:dyDescent="0.25">
      <c r="H432" s="2"/>
    </row>
    <row r="433" spans="8:8" ht="13.2" x14ac:dyDescent="0.25">
      <c r="H433" s="2"/>
    </row>
    <row r="434" spans="8:8" ht="13.2" x14ac:dyDescent="0.25">
      <c r="H434" s="2"/>
    </row>
    <row r="435" spans="8:8" ht="13.2" x14ac:dyDescent="0.25">
      <c r="H435" s="2"/>
    </row>
    <row r="436" spans="8:8" ht="13.2" x14ac:dyDescent="0.25">
      <c r="H436" s="2"/>
    </row>
    <row r="437" spans="8:8" ht="13.2" x14ac:dyDescent="0.25">
      <c r="H437" s="2"/>
    </row>
    <row r="438" spans="8:8" ht="13.2" x14ac:dyDescent="0.25">
      <c r="H438" s="2"/>
    </row>
    <row r="439" spans="8:8" ht="13.2" x14ac:dyDescent="0.25">
      <c r="H439" s="2"/>
    </row>
    <row r="440" spans="8:8" ht="13.2" x14ac:dyDescent="0.25">
      <c r="H440" s="2"/>
    </row>
    <row r="441" spans="8:8" ht="13.2" x14ac:dyDescent="0.25">
      <c r="H441" s="2"/>
    </row>
    <row r="442" spans="8:8" ht="13.2" x14ac:dyDescent="0.25">
      <c r="H442" s="2"/>
    </row>
    <row r="443" spans="8:8" ht="13.2" x14ac:dyDescent="0.25">
      <c r="H443" s="2"/>
    </row>
    <row r="444" spans="8:8" ht="13.2" x14ac:dyDescent="0.25">
      <c r="H444" s="2"/>
    </row>
    <row r="445" spans="8:8" ht="13.2" x14ac:dyDescent="0.25">
      <c r="H445" s="2"/>
    </row>
    <row r="446" spans="8:8" ht="13.2" x14ac:dyDescent="0.25">
      <c r="H446" s="2"/>
    </row>
    <row r="447" spans="8:8" ht="13.2" x14ac:dyDescent="0.25">
      <c r="H447" s="2"/>
    </row>
    <row r="448" spans="8:8" ht="13.2" x14ac:dyDescent="0.25">
      <c r="H448" s="2"/>
    </row>
    <row r="449" spans="8:8" ht="13.2" x14ac:dyDescent="0.25">
      <c r="H449" s="2"/>
    </row>
    <row r="450" spans="8:8" ht="13.2" x14ac:dyDescent="0.25">
      <c r="H450" s="2"/>
    </row>
    <row r="451" spans="8:8" ht="13.2" x14ac:dyDescent="0.25">
      <c r="H451" s="2"/>
    </row>
    <row r="452" spans="8:8" ht="13.2" x14ac:dyDescent="0.25">
      <c r="H452" s="2"/>
    </row>
    <row r="453" spans="8:8" ht="13.2" x14ac:dyDescent="0.25">
      <c r="H453" s="2"/>
    </row>
    <row r="454" spans="8:8" ht="13.2" x14ac:dyDescent="0.25">
      <c r="H454" s="2"/>
    </row>
    <row r="455" spans="8:8" ht="13.2" x14ac:dyDescent="0.25">
      <c r="H455" s="2"/>
    </row>
    <row r="456" spans="8:8" ht="13.2" x14ac:dyDescent="0.25">
      <c r="H456" s="2"/>
    </row>
    <row r="457" spans="8:8" ht="13.2" x14ac:dyDescent="0.25">
      <c r="H457" s="2"/>
    </row>
    <row r="458" spans="8:8" ht="13.2" x14ac:dyDescent="0.25">
      <c r="H458" s="2"/>
    </row>
    <row r="459" spans="8:8" ht="13.2" x14ac:dyDescent="0.25">
      <c r="H459" s="2"/>
    </row>
    <row r="460" spans="8:8" ht="13.2" x14ac:dyDescent="0.25">
      <c r="H460" s="2"/>
    </row>
    <row r="461" spans="8:8" ht="13.2" x14ac:dyDescent="0.25">
      <c r="H461" s="2"/>
    </row>
    <row r="462" spans="8:8" ht="13.2" x14ac:dyDescent="0.25">
      <c r="H462" s="2"/>
    </row>
    <row r="463" spans="8:8" ht="13.2" x14ac:dyDescent="0.25">
      <c r="H463" s="2"/>
    </row>
    <row r="464" spans="8:8" ht="13.2" x14ac:dyDescent="0.25">
      <c r="H464" s="2"/>
    </row>
    <row r="465" spans="8:8" ht="13.2" x14ac:dyDescent="0.25">
      <c r="H465" s="2"/>
    </row>
    <row r="466" spans="8:8" ht="13.2" x14ac:dyDescent="0.25">
      <c r="H466" s="2"/>
    </row>
    <row r="467" spans="8:8" ht="13.2" x14ac:dyDescent="0.25">
      <c r="H467" s="2"/>
    </row>
    <row r="468" spans="8:8" ht="13.2" x14ac:dyDescent="0.25">
      <c r="H468" s="2"/>
    </row>
    <row r="469" spans="8:8" ht="13.2" x14ac:dyDescent="0.25">
      <c r="H469" s="2"/>
    </row>
    <row r="470" spans="8:8" ht="13.2" x14ac:dyDescent="0.25">
      <c r="H470" s="2"/>
    </row>
    <row r="471" spans="8:8" ht="13.2" x14ac:dyDescent="0.25">
      <c r="H471" s="2"/>
    </row>
    <row r="472" spans="8:8" ht="13.2" x14ac:dyDescent="0.25">
      <c r="H472" s="2"/>
    </row>
    <row r="473" spans="8:8" ht="13.2" x14ac:dyDescent="0.25">
      <c r="H473" s="2"/>
    </row>
    <row r="474" spans="8:8" ht="13.2" x14ac:dyDescent="0.25">
      <c r="H474" s="2"/>
    </row>
    <row r="475" spans="8:8" ht="13.2" x14ac:dyDescent="0.25">
      <c r="H475" s="2"/>
    </row>
    <row r="476" spans="8:8" ht="13.2" x14ac:dyDescent="0.25">
      <c r="H476" s="2"/>
    </row>
    <row r="477" spans="8:8" ht="13.2" x14ac:dyDescent="0.25">
      <c r="H477" s="2"/>
    </row>
    <row r="478" spans="8:8" ht="13.2" x14ac:dyDescent="0.25">
      <c r="H478" s="2"/>
    </row>
    <row r="479" spans="8:8" ht="13.2" x14ac:dyDescent="0.25">
      <c r="H479" s="2"/>
    </row>
    <row r="480" spans="8:8" ht="13.2" x14ac:dyDescent="0.25">
      <c r="H480" s="2"/>
    </row>
    <row r="481" spans="8:8" ht="13.2" x14ac:dyDescent="0.25">
      <c r="H481" s="2"/>
    </row>
    <row r="482" spans="8:8" ht="13.2" x14ac:dyDescent="0.25">
      <c r="H482" s="2"/>
    </row>
    <row r="483" spans="8:8" ht="13.2" x14ac:dyDescent="0.25">
      <c r="H483" s="2"/>
    </row>
    <row r="484" spans="8:8" ht="13.2" x14ac:dyDescent="0.25">
      <c r="H484" s="2"/>
    </row>
    <row r="485" spans="8:8" ht="13.2" x14ac:dyDescent="0.25">
      <c r="H485" s="2"/>
    </row>
    <row r="486" spans="8:8" ht="13.2" x14ac:dyDescent="0.25">
      <c r="H486" s="2"/>
    </row>
    <row r="487" spans="8:8" ht="13.2" x14ac:dyDescent="0.25">
      <c r="H487" s="2"/>
    </row>
    <row r="488" spans="8:8" ht="13.2" x14ac:dyDescent="0.25">
      <c r="H488" s="2"/>
    </row>
    <row r="489" spans="8:8" ht="13.2" x14ac:dyDescent="0.25">
      <c r="H489" s="2"/>
    </row>
    <row r="490" spans="8:8" ht="13.2" x14ac:dyDescent="0.25">
      <c r="H490" s="2"/>
    </row>
    <row r="491" spans="8:8" ht="13.2" x14ac:dyDescent="0.25">
      <c r="H491" s="2"/>
    </row>
    <row r="492" spans="8:8" ht="13.2" x14ac:dyDescent="0.25">
      <c r="H492" s="2"/>
    </row>
    <row r="493" spans="8:8" ht="13.2" x14ac:dyDescent="0.25">
      <c r="H493" s="2"/>
    </row>
    <row r="494" spans="8:8" ht="13.2" x14ac:dyDescent="0.25">
      <c r="H494" s="2"/>
    </row>
    <row r="495" spans="8:8" ht="13.2" x14ac:dyDescent="0.25">
      <c r="H495" s="2"/>
    </row>
    <row r="496" spans="8:8" ht="13.2" x14ac:dyDescent="0.25">
      <c r="H496" s="2"/>
    </row>
    <row r="497" spans="8:8" ht="13.2" x14ac:dyDescent="0.25">
      <c r="H497" s="2"/>
    </row>
    <row r="498" spans="8:8" ht="13.2" x14ac:dyDescent="0.25">
      <c r="H498" s="2"/>
    </row>
    <row r="499" spans="8:8" ht="13.2" x14ac:dyDescent="0.25">
      <c r="H499" s="2"/>
    </row>
    <row r="500" spans="8:8" ht="13.2" x14ac:dyDescent="0.25">
      <c r="H500" s="2"/>
    </row>
    <row r="501" spans="8:8" ht="13.2" x14ac:dyDescent="0.25">
      <c r="H501" s="2"/>
    </row>
    <row r="502" spans="8:8" ht="13.2" x14ac:dyDescent="0.25">
      <c r="H502" s="2"/>
    </row>
    <row r="503" spans="8:8" ht="13.2" x14ac:dyDescent="0.25">
      <c r="H503" s="2"/>
    </row>
    <row r="504" spans="8:8" ht="13.2" x14ac:dyDescent="0.25">
      <c r="H504" s="2"/>
    </row>
    <row r="505" spans="8:8" ht="13.2" x14ac:dyDescent="0.25">
      <c r="H505" s="2"/>
    </row>
    <row r="506" spans="8:8" ht="13.2" x14ac:dyDescent="0.25">
      <c r="H506" s="2"/>
    </row>
    <row r="507" spans="8:8" ht="13.2" x14ac:dyDescent="0.25">
      <c r="H507" s="2"/>
    </row>
    <row r="508" spans="8:8" ht="13.2" x14ac:dyDescent="0.25">
      <c r="H508" s="2"/>
    </row>
    <row r="509" spans="8:8" ht="13.2" x14ac:dyDescent="0.25">
      <c r="H509" s="2"/>
    </row>
    <row r="510" spans="8:8" ht="13.2" x14ac:dyDescent="0.25">
      <c r="H510" s="2"/>
    </row>
    <row r="511" spans="8:8" ht="13.2" x14ac:dyDescent="0.25">
      <c r="H511" s="2"/>
    </row>
    <row r="512" spans="8:8" ht="13.2" x14ac:dyDescent="0.25">
      <c r="H512" s="2"/>
    </row>
    <row r="513" spans="8:8" ht="13.2" x14ac:dyDescent="0.25">
      <c r="H513" s="2"/>
    </row>
    <row r="514" spans="8:8" ht="13.2" x14ac:dyDescent="0.25">
      <c r="H514" s="2"/>
    </row>
    <row r="515" spans="8:8" ht="13.2" x14ac:dyDescent="0.25">
      <c r="H515" s="2"/>
    </row>
    <row r="516" spans="8:8" ht="13.2" x14ac:dyDescent="0.25">
      <c r="H516" s="2"/>
    </row>
    <row r="517" spans="8:8" ht="13.2" x14ac:dyDescent="0.25">
      <c r="H517" s="2"/>
    </row>
    <row r="518" spans="8:8" ht="13.2" x14ac:dyDescent="0.25">
      <c r="H518" s="2"/>
    </row>
    <row r="519" spans="8:8" ht="13.2" x14ac:dyDescent="0.25">
      <c r="H519" s="2"/>
    </row>
    <row r="520" spans="8:8" ht="13.2" x14ac:dyDescent="0.25">
      <c r="H520" s="2"/>
    </row>
    <row r="521" spans="8:8" ht="13.2" x14ac:dyDescent="0.25">
      <c r="H521" s="2"/>
    </row>
    <row r="522" spans="8:8" ht="13.2" x14ac:dyDescent="0.25">
      <c r="H522" s="2"/>
    </row>
    <row r="523" spans="8:8" ht="13.2" x14ac:dyDescent="0.25">
      <c r="H523" s="2"/>
    </row>
    <row r="524" spans="8:8" ht="13.2" x14ac:dyDescent="0.25">
      <c r="H524" s="2"/>
    </row>
    <row r="525" spans="8:8" ht="13.2" x14ac:dyDescent="0.25">
      <c r="H525" s="2"/>
    </row>
    <row r="526" spans="8:8" ht="13.2" x14ac:dyDescent="0.25">
      <c r="H526" s="2"/>
    </row>
    <row r="527" spans="8:8" ht="13.2" x14ac:dyDescent="0.25">
      <c r="H527" s="2"/>
    </row>
    <row r="528" spans="8:8" ht="13.2" x14ac:dyDescent="0.25">
      <c r="H528" s="2"/>
    </row>
    <row r="529" spans="8:8" ht="13.2" x14ac:dyDescent="0.25">
      <c r="H529" s="2"/>
    </row>
    <row r="530" spans="8:8" ht="13.2" x14ac:dyDescent="0.25">
      <c r="H530" s="2"/>
    </row>
    <row r="531" spans="8:8" ht="13.2" x14ac:dyDescent="0.25">
      <c r="H531" s="2"/>
    </row>
    <row r="532" spans="8:8" ht="13.2" x14ac:dyDescent="0.25">
      <c r="H532" s="2"/>
    </row>
    <row r="533" spans="8:8" ht="13.2" x14ac:dyDescent="0.25">
      <c r="H533" s="2"/>
    </row>
    <row r="534" spans="8:8" ht="13.2" x14ac:dyDescent="0.25">
      <c r="H534" s="2"/>
    </row>
    <row r="535" spans="8:8" ht="13.2" x14ac:dyDescent="0.25">
      <c r="H535" s="2"/>
    </row>
    <row r="536" spans="8:8" ht="13.2" x14ac:dyDescent="0.25">
      <c r="H536" s="2"/>
    </row>
    <row r="537" spans="8:8" ht="13.2" x14ac:dyDescent="0.25">
      <c r="H537" s="2"/>
    </row>
    <row r="538" spans="8:8" ht="13.2" x14ac:dyDescent="0.25">
      <c r="H538" s="2"/>
    </row>
    <row r="539" spans="8:8" ht="13.2" x14ac:dyDescent="0.25">
      <c r="H539" s="2"/>
    </row>
    <row r="540" spans="8:8" ht="13.2" x14ac:dyDescent="0.25">
      <c r="H540" s="2"/>
    </row>
    <row r="541" spans="8:8" ht="13.2" x14ac:dyDescent="0.25">
      <c r="H541" s="2"/>
    </row>
    <row r="542" spans="8:8" ht="13.2" x14ac:dyDescent="0.25">
      <c r="H542" s="2"/>
    </row>
    <row r="543" spans="8:8" ht="13.2" x14ac:dyDescent="0.25">
      <c r="H543" s="2"/>
    </row>
    <row r="544" spans="8:8" ht="13.2" x14ac:dyDescent="0.25">
      <c r="H544" s="2"/>
    </row>
    <row r="545" spans="8:8" ht="13.2" x14ac:dyDescent="0.25">
      <c r="H545" s="2"/>
    </row>
    <row r="546" spans="8:8" ht="13.2" x14ac:dyDescent="0.25">
      <c r="H546" s="2"/>
    </row>
    <row r="547" spans="8:8" ht="13.2" x14ac:dyDescent="0.25">
      <c r="H547" s="2"/>
    </row>
    <row r="548" spans="8:8" ht="13.2" x14ac:dyDescent="0.25">
      <c r="H548" s="2"/>
    </row>
    <row r="549" spans="8:8" ht="13.2" x14ac:dyDescent="0.25">
      <c r="H549" s="2"/>
    </row>
    <row r="550" spans="8:8" ht="13.2" x14ac:dyDescent="0.25">
      <c r="H550" s="2"/>
    </row>
    <row r="551" spans="8:8" ht="13.2" x14ac:dyDescent="0.25">
      <c r="H551" s="2"/>
    </row>
    <row r="552" spans="8:8" ht="13.2" x14ac:dyDescent="0.25">
      <c r="H552" s="2"/>
    </row>
    <row r="553" spans="8:8" ht="13.2" x14ac:dyDescent="0.25">
      <c r="H553" s="2"/>
    </row>
    <row r="554" spans="8:8" ht="13.2" x14ac:dyDescent="0.25">
      <c r="H554" s="2"/>
    </row>
    <row r="555" spans="8:8" ht="13.2" x14ac:dyDescent="0.25">
      <c r="H555" s="2"/>
    </row>
    <row r="556" spans="8:8" ht="13.2" x14ac:dyDescent="0.25">
      <c r="H556" s="2"/>
    </row>
    <row r="557" spans="8:8" ht="13.2" x14ac:dyDescent="0.25">
      <c r="H557" s="2"/>
    </row>
    <row r="558" spans="8:8" ht="13.2" x14ac:dyDescent="0.25">
      <c r="H558" s="2"/>
    </row>
    <row r="559" spans="8:8" ht="13.2" x14ac:dyDescent="0.25">
      <c r="H559" s="2"/>
    </row>
    <row r="560" spans="8:8" ht="13.2" x14ac:dyDescent="0.25">
      <c r="H560" s="2"/>
    </row>
    <row r="561" spans="8:8" ht="13.2" x14ac:dyDescent="0.25">
      <c r="H561" s="2"/>
    </row>
    <row r="562" spans="8:8" ht="13.2" x14ac:dyDescent="0.25">
      <c r="H562" s="2"/>
    </row>
    <row r="563" spans="8:8" ht="13.2" x14ac:dyDescent="0.25">
      <c r="H563" s="2"/>
    </row>
    <row r="564" spans="8:8" ht="13.2" x14ac:dyDescent="0.25">
      <c r="H564" s="2"/>
    </row>
    <row r="565" spans="8:8" ht="13.2" x14ac:dyDescent="0.25">
      <c r="H565" s="2"/>
    </row>
    <row r="566" spans="8:8" ht="13.2" x14ac:dyDescent="0.25">
      <c r="H566" s="2"/>
    </row>
    <row r="567" spans="8:8" ht="13.2" x14ac:dyDescent="0.25">
      <c r="H567" s="2"/>
    </row>
    <row r="568" spans="8:8" ht="13.2" x14ac:dyDescent="0.25">
      <c r="H568" s="2"/>
    </row>
    <row r="569" spans="8:8" ht="13.2" x14ac:dyDescent="0.25">
      <c r="H569" s="2"/>
    </row>
    <row r="570" spans="8:8" ht="13.2" x14ac:dyDescent="0.25">
      <c r="H570" s="2"/>
    </row>
    <row r="571" spans="8:8" ht="13.2" x14ac:dyDescent="0.25">
      <c r="H571" s="2"/>
    </row>
    <row r="572" spans="8:8" ht="13.2" x14ac:dyDescent="0.25">
      <c r="H572" s="2"/>
    </row>
    <row r="573" spans="8:8" ht="13.2" x14ac:dyDescent="0.25">
      <c r="H573" s="2"/>
    </row>
    <row r="574" spans="8:8" ht="13.2" x14ac:dyDescent="0.25">
      <c r="H574" s="2"/>
    </row>
    <row r="575" spans="8:8" ht="13.2" x14ac:dyDescent="0.25">
      <c r="H575" s="2"/>
    </row>
    <row r="576" spans="8:8" ht="13.2" x14ac:dyDescent="0.25">
      <c r="H576" s="2"/>
    </row>
    <row r="577" spans="8:8" ht="13.2" x14ac:dyDescent="0.25">
      <c r="H577" s="2"/>
    </row>
    <row r="578" spans="8:8" ht="13.2" x14ac:dyDescent="0.25">
      <c r="H578" s="2"/>
    </row>
    <row r="579" spans="8:8" ht="13.2" x14ac:dyDescent="0.25">
      <c r="H579" s="2"/>
    </row>
    <row r="580" spans="8:8" ht="13.2" x14ac:dyDescent="0.25">
      <c r="H580" s="2"/>
    </row>
    <row r="581" spans="8:8" ht="13.2" x14ac:dyDescent="0.25">
      <c r="H581" s="2"/>
    </row>
    <row r="582" spans="8:8" ht="13.2" x14ac:dyDescent="0.25">
      <c r="H582" s="2"/>
    </row>
    <row r="583" spans="8:8" ht="13.2" x14ac:dyDescent="0.25">
      <c r="H583" s="2"/>
    </row>
    <row r="584" spans="8:8" ht="13.2" x14ac:dyDescent="0.25">
      <c r="H584" s="2"/>
    </row>
    <row r="585" spans="8:8" ht="13.2" x14ac:dyDescent="0.25">
      <c r="H585" s="2"/>
    </row>
    <row r="586" spans="8:8" ht="13.2" x14ac:dyDescent="0.25">
      <c r="H586" s="2"/>
    </row>
    <row r="587" spans="8:8" ht="13.2" x14ac:dyDescent="0.25">
      <c r="H587" s="2"/>
    </row>
    <row r="588" spans="8:8" ht="13.2" x14ac:dyDescent="0.25">
      <c r="H588" s="2"/>
    </row>
    <row r="589" spans="8:8" ht="13.2" x14ac:dyDescent="0.25">
      <c r="H589" s="2"/>
    </row>
    <row r="590" spans="8:8" ht="13.2" x14ac:dyDescent="0.25">
      <c r="H590" s="2"/>
    </row>
    <row r="591" spans="8:8" ht="13.2" x14ac:dyDescent="0.25">
      <c r="H591" s="2"/>
    </row>
    <row r="592" spans="8:8" ht="13.2" x14ac:dyDescent="0.25">
      <c r="H592" s="2"/>
    </row>
    <row r="593" spans="8:8" ht="13.2" x14ac:dyDescent="0.25">
      <c r="H593" s="2"/>
    </row>
    <row r="594" spans="8:8" ht="13.2" x14ac:dyDescent="0.25">
      <c r="H594" s="2"/>
    </row>
    <row r="595" spans="8:8" ht="13.2" x14ac:dyDescent="0.25">
      <c r="H595" s="2"/>
    </row>
    <row r="596" spans="8:8" ht="13.2" x14ac:dyDescent="0.25">
      <c r="H596" s="2"/>
    </row>
    <row r="597" spans="8:8" ht="13.2" x14ac:dyDescent="0.25">
      <c r="H597" s="2"/>
    </row>
    <row r="598" spans="8:8" ht="13.2" x14ac:dyDescent="0.25">
      <c r="H598" s="2"/>
    </row>
    <row r="599" spans="8:8" ht="13.2" x14ac:dyDescent="0.25">
      <c r="H599" s="2"/>
    </row>
    <row r="600" spans="8:8" ht="13.2" x14ac:dyDescent="0.25">
      <c r="H600" s="2"/>
    </row>
    <row r="601" spans="8:8" ht="13.2" x14ac:dyDescent="0.25">
      <c r="H601" s="2"/>
    </row>
    <row r="602" spans="8:8" ht="13.2" x14ac:dyDescent="0.25">
      <c r="H602" s="2"/>
    </row>
    <row r="603" spans="8:8" ht="13.2" x14ac:dyDescent="0.25">
      <c r="H603" s="2"/>
    </row>
    <row r="604" spans="8:8" ht="13.2" x14ac:dyDescent="0.25">
      <c r="H604" s="2"/>
    </row>
    <row r="605" spans="8:8" ht="13.2" x14ac:dyDescent="0.25">
      <c r="H605" s="2"/>
    </row>
    <row r="606" spans="8:8" ht="13.2" x14ac:dyDescent="0.25">
      <c r="H606" s="2"/>
    </row>
    <row r="607" spans="8:8" ht="13.2" x14ac:dyDescent="0.25">
      <c r="H607" s="2"/>
    </row>
    <row r="608" spans="8:8" ht="13.2" x14ac:dyDescent="0.25">
      <c r="H608" s="2"/>
    </row>
    <row r="609" spans="8:8" ht="13.2" x14ac:dyDescent="0.25">
      <c r="H609" s="2"/>
    </row>
    <row r="610" spans="8:8" ht="13.2" x14ac:dyDescent="0.25">
      <c r="H610" s="2"/>
    </row>
    <row r="611" spans="8:8" ht="13.2" x14ac:dyDescent="0.25">
      <c r="H611" s="2"/>
    </row>
    <row r="612" spans="8:8" ht="13.2" x14ac:dyDescent="0.25">
      <c r="H612" s="2"/>
    </row>
    <row r="613" spans="8:8" ht="13.2" x14ac:dyDescent="0.25">
      <c r="H613" s="2"/>
    </row>
    <row r="614" spans="8:8" ht="13.2" x14ac:dyDescent="0.25">
      <c r="H614" s="2"/>
    </row>
    <row r="615" spans="8:8" ht="13.2" x14ac:dyDescent="0.25">
      <c r="H615" s="2"/>
    </row>
    <row r="616" spans="8:8" ht="13.2" x14ac:dyDescent="0.25">
      <c r="H616" s="2"/>
    </row>
    <row r="617" spans="8:8" ht="13.2" x14ac:dyDescent="0.25">
      <c r="H617" s="2"/>
    </row>
    <row r="618" spans="8:8" ht="13.2" x14ac:dyDescent="0.25">
      <c r="H618" s="2"/>
    </row>
    <row r="619" spans="8:8" ht="13.2" x14ac:dyDescent="0.25">
      <c r="H619" s="2"/>
    </row>
    <row r="620" spans="8:8" ht="13.2" x14ac:dyDescent="0.25">
      <c r="H620" s="2"/>
    </row>
    <row r="621" spans="8:8" ht="13.2" x14ac:dyDescent="0.25">
      <c r="H621" s="2"/>
    </row>
    <row r="622" spans="8:8" ht="13.2" x14ac:dyDescent="0.25">
      <c r="H622" s="2"/>
    </row>
    <row r="623" spans="8:8" ht="13.2" x14ac:dyDescent="0.25">
      <c r="H623" s="2"/>
    </row>
    <row r="624" spans="8:8" ht="13.2" x14ac:dyDescent="0.25">
      <c r="H624" s="2"/>
    </row>
    <row r="625" spans="8:8" ht="13.2" x14ac:dyDescent="0.25">
      <c r="H625" s="2"/>
    </row>
    <row r="626" spans="8:8" ht="13.2" x14ac:dyDescent="0.25">
      <c r="H626" s="2"/>
    </row>
    <row r="627" spans="8:8" ht="13.2" x14ac:dyDescent="0.25">
      <c r="H627" s="2"/>
    </row>
    <row r="628" spans="8:8" ht="13.2" x14ac:dyDescent="0.25">
      <c r="H628" s="2"/>
    </row>
    <row r="629" spans="8:8" ht="13.2" x14ac:dyDescent="0.25">
      <c r="H629" s="2"/>
    </row>
    <row r="630" spans="8:8" ht="13.2" x14ac:dyDescent="0.25">
      <c r="H630" s="2"/>
    </row>
    <row r="631" spans="8:8" ht="13.2" x14ac:dyDescent="0.25">
      <c r="H631" s="2"/>
    </row>
    <row r="632" spans="8:8" ht="13.2" x14ac:dyDescent="0.25">
      <c r="H632" s="2"/>
    </row>
    <row r="633" spans="8:8" ht="13.2" x14ac:dyDescent="0.25">
      <c r="H633" s="2"/>
    </row>
    <row r="634" spans="8:8" ht="13.2" x14ac:dyDescent="0.25">
      <c r="H634" s="2"/>
    </row>
    <row r="635" spans="8:8" ht="13.2" x14ac:dyDescent="0.25">
      <c r="H635" s="2"/>
    </row>
    <row r="636" spans="8:8" ht="13.2" x14ac:dyDescent="0.25">
      <c r="H636" s="2"/>
    </row>
    <row r="637" spans="8:8" ht="13.2" x14ac:dyDescent="0.25">
      <c r="H637" s="2"/>
    </row>
    <row r="638" spans="8:8" ht="13.2" x14ac:dyDescent="0.25">
      <c r="H638" s="2"/>
    </row>
    <row r="639" spans="8:8" ht="13.2" x14ac:dyDescent="0.25">
      <c r="H639" s="2"/>
    </row>
    <row r="640" spans="8:8" ht="13.2" x14ac:dyDescent="0.25">
      <c r="H640" s="2"/>
    </row>
    <row r="641" spans="8:8" ht="13.2" x14ac:dyDescent="0.25">
      <c r="H641" s="2"/>
    </row>
    <row r="642" spans="8:8" ht="13.2" x14ac:dyDescent="0.25">
      <c r="H642" s="2"/>
    </row>
    <row r="643" spans="8:8" ht="13.2" x14ac:dyDescent="0.25">
      <c r="H643" s="2"/>
    </row>
    <row r="644" spans="8:8" ht="13.2" x14ac:dyDescent="0.25">
      <c r="H644" s="2"/>
    </row>
    <row r="645" spans="8:8" ht="13.2" x14ac:dyDescent="0.25">
      <c r="H645" s="2"/>
    </row>
    <row r="646" spans="8:8" ht="13.2" x14ac:dyDescent="0.25">
      <c r="H646" s="2"/>
    </row>
    <row r="647" spans="8:8" ht="13.2" x14ac:dyDescent="0.25">
      <c r="H647" s="2"/>
    </row>
    <row r="648" spans="8:8" ht="13.2" x14ac:dyDescent="0.25">
      <c r="H648" s="2"/>
    </row>
    <row r="649" spans="8:8" ht="13.2" x14ac:dyDescent="0.25">
      <c r="H649" s="2"/>
    </row>
    <row r="650" spans="8:8" ht="13.2" x14ac:dyDescent="0.25">
      <c r="H650" s="2"/>
    </row>
    <row r="651" spans="8:8" ht="13.2" x14ac:dyDescent="0.25">
      <c r="H651" s="2"/>
    </row>
    <row r="652" spans="8:8" ht="13.2" x14ac:dyDescent="0.25">
      <c r="H652" s="2"/>
    </row>
    <row r="653" spans="8:8" ht="13.2" x14ac:dyDescent="0.25">
      <c r="H653" s="2"/>
    </row>
    <row r="654" spans="8:8" ht="13.2" x14ac:dyDescent="0.25">
      <c r="H654" s="2"/>
    </row>
    <row r="655" spans="8:8" ht="13.2" x14ac:dyDescent="0.25">
      <c r="H655" s="2"/>
    </row>
    <row r="656" spans="8:8" ht="13.2" x14ac:dyDescent="0.25">
      <c r="H656" s="2"/>
    </row>
    <row r="657" spans="8:8" ht="13.2" x14ac:dyDescent="0.25">
      <c r="H657" s="2"/>
    </row>
    <row r="658" spans="8:8" ht="13.2" x14ac:dyDescent="0.25">
      <c r="H658" s="2"/>
    </row>
    <row r="659" spans="8:8" ht="13.2" x14ac:dyDescent="0.25">
      <c r="H659" s="2"/>
    </row>
    <row r="660" spans="8:8" ht="13.2" x14ac:dyDescent="0.25">
      <c r="H660" s="2"/>
    </row>
    <row r="661" spans="8:8" ht="13.2" x14ac:dyDescent="0.25">
      <c r="H661" s="2"/>
    </row>
    <row r="662" spans="8:8" ht="13.2" x14ac:dyDescent="0.25">
      <c r="H662" s="2"/>
    </row>
    <row r="663" spans="8:8" ht="13.2" x14ac:dyDescent="0.25">
      <c r="H663" s="2"/>
    </row>
    <row r="664" spans="8:8" ht="13.2" x14ac:dyDescent="0.25">
      <c r="H664" s="2"/>
    </row>
    <row r="665" spans="8:8" ht="13.2" x14ac:dyDescent="0.25">
      <c r="H665" s="2"/>
    </row>
    <row r="666" spans="8:8" ht="13.2" x14ac:dyDescent="0.25">
      <c r="H666" s="2"/>
    </row>
    <row r="667" spans="8:8" ht="13.2" x14ac:dyDescent="0.25">
      <c r="H667" s="2"/>
    </row>
    <row r="668" spans="8:8" ht="13.2" x14ac:dyDescent="0.25">
      <c r="H668" s="2"/>
    </row>
    <row r="669" spans="8:8" ht="13.2" x14ac:dyDescent="0.25">
      <c r="H669" s="2"/>
    </row>
    <row r="670" spans="8:8" ht="13.2" x14ac:dyDescent="0.25">
      <c r="H670" s="2"/>
    </row>
    <row r="671" spans="8:8" ht="13.2" x14ac:dyDescent="0.25">
      <c r="H671" s="2"/>
    </row>
    <row r="672" spans="8:8" ht="13.2" x14ac:dyDescent="0.25">
      <c r="H672" s="2"/>
    </row>
    <row r="673" spans="8:8" ht="13.2" x14ac:dyDescent="0.25">
      <c r="H673" s="2"/>
    </row>
    <row r="674" spans="8:8" ht="13.2" x14ac:dyDescent="0.25">
      <c r="H674" s="2"/>
    </row>
    <row r="675" spans="8:8" ht="13.2" x14ac:dyDescent="0.25">
      <c r="H675" s="2"/>
    </row>
    <row r="676" spans="8:8" ht="13.2" x14ac:dyDescent="0.25">
      <c r="H676" s="2"/>
    </row>
    <row r="677" spans="8:8" ht="13.2" x14ac:dyDescent="0.25">
      <c r="H677" s="2"/>
    </row>
    <row r="678" spans="8:8" ht="13.2" x14ac:dyDescent="0.25">
      <c r="H678" s="2"/>
    </row>
    <row r="679" spans="8:8" ht="13.2" x14ac:dyDescent="0.25">
      <c r="H679" s="2"/>
    </row>
    <row r="680" spans="8:8" ht="13.2" x14ac:dyDescent="0.25">
      <c r="H680" s="2"/>
    </row>
    <row r="681" spans="8:8" ht="13.2" x14ac:dyDescent="0.25">
      <c r="H681" s="2"/>
    </row>
    <row r="682" spans="8:8" ht="13.2" x14ac:dyDescent="0.25">
      <c r="H682" s="2"/>
    </row>
    <row r="683" spans="8:8" ht="13.2" x14ac:dyDescent="0.25">
      <c r="H683" s="2"/>
    </row>
    <row r="684" spans="8:8" ht="13.2" x14ac:dyDescent="0.25">
      <c r="H684" s="2"/>
    </row>
    <row r="685" spans="8:8" ht="13.2" x14ac:dyDescent="0.25">
      <c r="H685" s="2"/>
    </row>
    <row r="686" spans="8:8" ht="13.2" x14ac:dyDescent="0.25">
      <c r="H686" s="2"/>
    </row>
    <row r="687" spans="8:8" ht="13.2" x14ac:dyDescent="0.25">
      <c r="H687" s="2"/>
    </row>
    <row r="688" spans="8:8" ht="13.2" x14ac:dyDescent="0.25">
      <c r="H688" s="2"/>
    </row>
    <row r="689" spans="8:8" ht="13.2" x14ac:dyDescent="0.25">
      <c r="H689" s="2"/>
    </row>
    <row r="690" spans="8:8" ht="13.2" x14ac:dyDescent="0.25">
      <c r="H690" s="2"/>
    </row>
    <row r="691" spans="8:8" ht="13.2" x14ac:dyDescent="0.25">
      <c r="H691" s="2"/>
    </row>
    <row r="692" spans="8:8" ht="13.2" x14ac:dyDescent="0.25">
      <c r="H692" s="2"/>
    </row>
    <row r="693" spans="8:8" ht="13.2" x14ac:dyDescent="0.25">
      <c r="H693" s="2"/>
    </row>
    <row r="694" spans="8:8" ht="13.2" x14ac:dyDescent="0.25">
      <c r="H694" s="2"/>
    </row>
    <row r="695" spans="8:8" ht="13.2" x14ac:dyDescent="0.25">
      <c r="H695" s="2"/>
    </row>
    <row r="696" spans="8:8" ht="13.2" x14ac:dyDescent="0.25">
      <c r="H696" s="2"/>
    </row>
    <row r="697" spans="8:8" ht="13.2" x14ac:dyDescent="0.25">
      <c r="H697" s="2"/>
    </row>
    <row r="698" spans="8:8" ht="13.2" x14ac:dyDescent="0.25">
      <c r="H698" s="2"/>
    </row>
    <row r="699" spans="8:8" ht="13.2" x14ac:dyDescent="0.25">
      <c r="H699" s="2"/>
    </row>
    <row r="700" spans="8:8" ht="13.2" x14ac:dyDescent="0.25">
      <c r="H700" s="2"/>
    </row>
    <row r="701" spans="8:8" ht="13.2" x14ac:dyDescent="0.25">
      <c r="H701" s="2"/>
    </row>
    <row r="702" spans="8:8" ht="13.2" x14ac:dyDescent="0.25">
      <c r="H702" s="2"/>
    </row>
    <row r="703" spans="8:8" ht="13.2" x14ac:dyDescent="0.25">
      <c r="H703" s="2"/>
    </row>
    <row r="704" spans="8:8" ht="13.2" x14ac:dyDescent="0.25">
      <c r="H704" s="2"/>
    </row>
    <row r="705" spans="8:8" ht="13.2" x14ac:dyDescent="0.25">
      <c r="H705" s="2"/>
    </row>
    <row r="706" spans="8:8" ht="13.2" x14ac:dyDescent="0.25">
      <c r="H706" s="2"/>
    </row>
    <row r="707" spans="8:8" ht="13.2" x14ac:dyDescent="0.25">
      <c r="H707" s="2"/>
    </row>
    <row r="708" spans="8:8" ht="13.2" x14ac:dyDescent="0.25">
      <c r="H708" s="2"/>
    </row>
    <row r="709" spans="8:8" ht="13.2" x14ac:dyDescent="0.25">
      <c r="H709" s="2"/>
    </row>
    <row r="710" spans="8:8" ht="13.2" x14ac:dyDescent="0.25">
      <c r="H710" s="2"/>
    </row>
    <row r="711" spans="8:8" ht="13.2" x14ac:dyDescent="0.25">
      <c r="H711" s="2"/>
    </row>
    <row r="712" spans="8:8" ht="13.2" x14ac:dyDescent="0.25">
      <c r="H712" s="2"/>
    </row>
    <row r="713" spans="8:8" ht="13.2" x14ac:dyDescent="0.25">
      <c r="H713" s="2"/>
    </row>
    <row r="714" spans="8:8" ht="13.2" x14ac:dyDescent="0.25">
      <c r="H714" s="2"/>
    </row>
    <row r="715" spans="8:8" ht="13.2" x14ac:dyDescent="0.25">
      <c r="H715" s="2"/>
    </row>
    <row r="716" spans="8:8" ht="13.2" x14ac:dyDescent="0.25">
      <c r="H716" s="2"/>
    </row>
    <row r="717" spans="8:8" ht="13.2" x14ac:dyDescent="0.25">
      <c r="H717" s="2"/>
    </row>
    <row r="718" spans="8:8" ht="13.2" x14ac:dyDescent="0.25">
      <c r="H718" s="2"/>
    </row>
    <row r="719" spans="8:8" ht="13.2" x14ac:dyDescent="0.25">
      <c r="H719" s="2"/>
    </row>
    <row r="720" spans="8:8" ht="13.2" x14ac:dyDescent="0.25">
      <c r="H720" s="2"/>
    </row>
    <row r="721" spans="8:8" ht="13.2" x14ac:dyDescent="0.25">
      <c r="H721" s="2"/>
    </row>
    <row r="722" spans="8:8" ht="13.2" x14ac:dyDescent="0.25">
      <c r="H722" s="2"/>
    </row>
    <row r="723" spans="8:8" ht="13.2" x14ac:dyDescent="0.25">
      <c r="H723" s="2"/>
    </row>
    <row r="724" spans="8:8" ht="13.2" x14ac:dyDescent="0.25">
      <c r="H724" s="2"/>
    </row>
    <row r="725" spans="8:8" ht="13.2" x14ac:dyDescent="0.25">
      <c r="H725" s="2"/>
    </row>
    <row r="726" spans="8:8" ht="13.2" x14ac:dyDescent="0.25">
      <c r="H726" s="2"/>
    </row>
    <row r="727" spans="8:8" ht="13.2" x14ac:dyDescent="0.25">
      <c r="H727" s="2"/>
    </row>
    <row r="728" spans="8:8" ht="13.2" x14ac:dyDescent="0.25">
      <c r="H728" s="2"/>
    </row>
    <row r="729" spans="8:8" ht="13.2" x14ac:dyDescent="0.25">
      <c r="H729" s="2"/>
    </row>
    <row r="730" spans="8:8" ht="13.2" x14ac:dyDescent="0.25">
      <c r="H730" s="2"/>
    </row>
    <row r="731" spans="8:8" ht="13.2" x14ac:dyDescent="0.25">
      <c r="H731" s="2"/>
    </row>
    <row r="732" spans="8:8" ht="13.2" x14ac:dyDescent="0.25">
      <c r="H732" s="2"/>
    </row>
    <row r="733" spans="8:8" ht="13.2" x14ac:dyDescent="0.25">
      <c r="H733" s="2"/>
    </row>
    <row r="734" spans="8:8" ht="13.2" x14ac:dyDescent="0.25">
      <c r="H734" s="2"/>
    </row>
    <row r="735" spans="8:8" ht="13.2" x14ac:dyDescent="0.25">
      <c r="H735" s="2"/>
    </row>
    <row r="736" spans="8:8" ht="13.2" x14ac:dyDescent="0.25">
      <c r="H736" s="2"/>
    </row>
    <row r="737" spans="8:8" ht="13.2" x14ac:dyDescent="0.25">
      <c r="H737" s="2"/>
    </row>
    <row r="738" spans="8:8" ht="13.2" x14ac:dyDescent="0.25">
      <c r="H738" s="2"/>
    </row>
    <row r="739" spans="8:8" ht="13.2" x14ac:dyDescent="0.25">
      <c r="H739" s="2"/>
    </row>
    <row r="740" spans="8:8" ht="13.2" x14ac:dyDescent="0.25">
      <c r="H740" s="2"/>
    </row>
    <row r="741" spans="8:8" ht="13.2" x14ac:dyDescent="0.25">
      <c r="H741" s="2"/>
    </row>
    <row r="742" spans="8:8" ht="13.2" x14ac:dyDescent="0.25">
      <c r="H742" s="2"/>
    </row>
    <row r="743" spans="8:8" ht="13.2" x14ac:dyDescent="0.25">
      <c r="H743" s="2"/>
    </row>
    <row r="744" spans="8:8" ht="13.2" x14ac:dyDescent="0.25">
      <c r="H744" s="2"/>
    </row>
    <row r="745" spans="8:8" ht="13.2" x14ac:dyDescent="0.25">
      <c r="H745" s="2"/>
    </row>
    <row r="746" spans="8:8" ht="13.2" x14ac:dyDescent="0.25">
      <c r="H746" s="2"/>
    </row>
    <row r="747" spans="8:8" ht="13.2" x14ac:dyDescent="0.25">
      <c r="H747" s="2"/>
    </row>
    <row r="748" spans="8:8" ht="13.2" x14ac:dyDescent="0.25">
      <c r="H748" s="2"/>
    </row>
    <row r="749" spans="8:8" ht="13.2" x14ac:dyDescent="0.25">
      <c r="H749" s="2"/>
    </row>
    <row r="750" spans="8:8" ht="13.2" x14ac:dyDescent="0.25">
      <c r="H750" s="2"/>
    </row>
    <row r="751" spans="8:8" ht="13.2" x14ac:dyDescent="0.25">
      <c r="H751" s="2"/>
    </row>
    <row r="752" spans="8:8" ht="13.2" x14ac:dyDescent="0.25">
      <c r="H752" s="2"/>
    </row>
    <row r="753" spans="8:8" ht="13.2" x14ac:dyDescent="0.25">
      <c r="H753" s="2"/>
    </row>
    <row r="754" spans="8:8" ht="13.2" x14ac:dyDescent="0.25">
      <c r="H754" s="2"/>
    </row>
    <row r="755" spans="8:8" ht="13.2" x14ac:dyDescent="0.25">
      <c r="H755" s="2"/>
    </row>
    <row r="756" spans="8:8" ht="13.2" x14ac:dyDescent="0.25">
      <c r="H756" s="2"/>
    </row>
    <row r="757" spans="8:8" ht="13.2" x14ac:dyDescent="0.25">
      <c r="H757" s="2"/>
    </row>
    <row r="758" spans="8:8" ht="13.2" x14ac:dyDescent="0.25">
      <c r="H758" s="2"/>
    </row>
    <row r="759" spans="8:8" ht="13.2" x14ac:dyDescent="0.25">
      <c r="H759" s="2"/>
    </row>
    <row r="760" spans="8:8" ht="13.2" x14ac:dyDescent="0.25">
      <c r="H760" s="2"/>
    </row>
    <row r="761" spans="8:8" ht="13.2" x14ac:dyDescent="0.25">
      <c r="H761" s="2"/>
    </row>
    <row r="762" spans="8:8" ht="13.2" x14ac:dyDescent="0.25">
      <c r="H762" s="2"/>
    </row>
    <row r="763" spans="8:8" ht="13.2" x14ac:dyDescent="0.25">
      <c r="H763" s="2"/>
    </row>
    <row r="764" spans="8:8" ht="13.2" x14ac:dyDescent="0.25">
      <c r="H764" s="2"/>
    </row>
    <row r="765" spans="8:8" ht="13.2" x14ac:dyDescent="0.25">
      <c r="H765" s="2"/>
    </row>
    <row r="766" spans="8:8" ht="13.2" x14ac:dyDescent="0.25">
      <c r="H766" s="2"/>
    </row>
    <row r="767" spans="8:8" ht="13.2" x14ac:dyDescent="0.25">
      <c r="H767" s="2"/>
    </row>
    <row r="768" spans="8:8" ht="13.2" x14ac:dyDescent="0.25">
      <c r="H768" s="2"/>
    </row>
    <row r="769" spans="8:8" ht="13.2" x14ac:dyDescent="0.25">
      <c r="H769" s="2"/>
    </row>
    <row r="770" spans="8:8" ht="13.2" x14ac:dyDescent="0.25">
      <c r="H770" s="2"/>
    </row>
    <row r="771" spans="8:8" ht="13.2" x14ac:dyDescent="0.25">
      <c r="H771" s="2"/>
    </row>
    <row r="772" spans="8:8" ht="13.2" x14ac:dyDescent="0.25">
      <c r="H772" s="2"/>
    </row>
    <row r="773" spans="8:8" ht="13.2" x14ac:dyDescent="0.25">
      <c r="H773" s="2"/>
    </row>
    <row r="774" spans="8:8" ht="13.2" x14ac:dyDescent="0.25">
      <c r="H774" s="2"/>
    </row>
    <row r="775" spans="8:8" ht="13.2" x14ac:dyDescent="0.25">
      <c r="H775" s="2"/>
    </row>
    <row r="776" spans="8:8" ht="13.2" x14ac:dyDescent="0.25">
      <c r="H776" s="2"/>
    </row>
    <row r="777" spans="8:8" ht="13.2" x14ac:dyDescent="0.25">
      <c r="H777" s="2"/>
    </row>
    <row r="778" spans="8:8" ht="13.2" x14ac:dyDescent="0.25">
      <c r="H778" s="2"/>
    </row>
    <row r="779" spans="8:8" ht="13.2" x14ac:dyDescent="0.25">
      <c r="H779" s="2"/>
    </row>
    <row r="780" spans="8:8" ht="13.2" x14ac:dyDescent="0.25">
      <c r="H780" s="2"/>
    </row>
    <row r="781" spans="8:8" ht="13.2" x14ac:dyDescent="0.25">
      <c r="H781" s="2"/>
    </row>
    <row r="782" spans="8:8" ht="13.2" x14ac:dyDescent="0.25">
      <c r="H782" s="2"/>
    </row>
    <row r="783" spans="8:8" ht="13.2" x14ac:dyDescent="0.25">
      <c r="H783" s="2"/>
    </row>
    <row r="784" spans="8:8" ht="13.2" x14ac:dyDescent="0.25">
      <c r="H784" s="2"/>
    </row>
    <row r="785" spans="8:8" ht="13.2" x14ac:dyDescent="0.25">
      <c r="H785" s="2"/>
    </row>
    <row r="786" spans="8:8" ht="13.2" x14ac:dyDescent="0.25">
      <c r="H786" s="2"/>
    </row>
    <row r="787" spans="8:8" ht="13.2" x14ac:dyDescent="0.25">
      <c r="H787" s="2"/>
    </row>
    <row r="788" spans="8:8" ht="13.2" x14ac:dyDescent="0.25">
      <c r="H788" s="2"/>
    </row>
    <row r="789" spans="8:8" ht="13.2" x14ac:dyDescent="0.25">
      <c r="H789" s="2"/>
    </row>
    <row r="790" spans="8:8" ht="13.2" x14ac:dyDescent="0.25">
      <c r="H790" s="2"/>
    </row>
    <row r="791" spans="8:8" ht="13.2" x14ac:dyDescent="0.25">
      <c r="H791" s="2"/>
    </row>
    <row r="792" spans="8:8" ht="13.2" x14ac:dyDescent="0.25">
      <c r="H792" s="2"/>
    </row>
    <row r="793" spans="8:8" ht="13.2" x14ac:dyDescent="0.25">
      <c r="H793" s="2"/>
    </row>
    <row r="794" spans="8:8" ht="13.2" x14ac:dyDescent="0.25">
      <c r="H794" s="2"/>
    </row>
    <row r="795" spans="8:8" ht="13.2" x14ac:dyDescent="0.25">
      <c r="H795" s="2"/>
    </row>
    <row r="796" spans="8:8" ht="13.2" x14ac:dyDescent="0.25">
      <c r="H796" s="2"/>
    </row>
    <row r="797" spans="8:8" ht="13.2" x14ac:dyDescent="0.25">
      <c r="H797" s="2"/>
    </row>
    <row r="798" spans="8:8" ht="13.2" x14ac:dyDescent="0.25">
      <c r="H798" s="2"/>
    </row>
    <row r="799" spans="8:8" ht="13.2" x14ac:dyDescent="0.25">
      <c r="H799" s="2"/>
    </row>
    <row r="800" spans="8:8" ht="13.2" x14ac:dyDescent="0.25">
      <c r="H800" s="2"/>
    </row>
    <row r="801" spans="8:8" ht="13.2" x14ac:dyDescent="0.25">
      <c r="H801" s="2"/>
    </row>
    <row r="802" spans="8:8" ht="13.2" x14ac:dyDescent="0.25">
      <c r="H802" s="2"/>
    </row>
    <row r="803" spans="8:8" ht="13.2" x14ac:dyDescent="0.25">
      <c r="H803" s="2"/>
    </row>
    <row r="804" spans="8:8" ht="13.2" x14ac:dyDescent="0.25">
      <c r="H804" s="2"/>
    </row>
    <row r="805" spans="8:8" ht="13.2" x14ac:dyDescent="0.25">
      <c r="H805" s="2"/>
    </row>
    <row r="806" spans="8:8" ht="13.2" x14ac:dyDescent="0.25">
      <c r="H806" s="2"/>
    </row>
    <row r="807" spans="8:8" ht="13.2" x14ac:dyDescent="0.25">
      <c r="H807" s="2"/>
    </row>
    <row r="808" spans="8:8" ht="13.2" x14ac:dyDescent="0.25">
      <c r="H808" s="2"/>
    </row>
    <row r="809" spans="8:8" ht="13.2" x14ac:dyDescent="0.25">
      <c r="H809" s="2"/>
    </row>
    <row r="810" spans="8:8" ht="13.2" x14ac:dyDescent="0.25">
      <c r="H810" s="2"/>
    </row>
    <row r="811" spans="8:8" ht="13.2" x14ac:dyDescent="0.25">
      <c r="H811" s="2"/>
    </row>
    <row r="812" spans="8:8" ht="13.2" x14ac:dyDescent="0.25">
      <c r="H812" s="2"/>
    </row>
    <row r="813" spans="8:8" ht="13.2" x14ac:dyDescent="0.25">
      <c r="H813" s="2"/>
    </row>
    <row r="814" spans="8:8" ht="13.2" x14ac:dyDescent="0.25">
      <c r="H814" s="2"/>
    </row>
    <row r="815" spans="8:8" ht="13.2" x14ac:dyDescent="0.25">
      <c r="H815" s="2"/>
    </row>
    <row r="816" spans="8:8" ht="13.2" x14ac:dyDescent="0.25">
      <c r="H816" s="2"/>
    </row>
    <row r="817" spans="8:8" ht="13.2" x14ac:dyDescent="0.25">
      <c r="H817" s="2"/>
    </row>
    <row r="818" spans="8:8" ht="13.2" x14ac:dyDescent="0.25">
      <c r="H818" s="2"/>
    </row>
    <row r="819" spans="8:8" ht="13.2" x14ac:dyDescent="0.25">
      <c r="H819" s="2"/>
    </row>
    <row r="820" spans="8:8" ht="13.2" x14ac:dyDescent="0.25">
      <c r="H820" s="2"/>
    </row>
    <row r="821" spans="8:8" ht="13.2" x14ac:dyDescent="0.25">
      <c r="H821" s="2"/>
    </row>
    <row r="822" spans="8:8" ht="13.2" x14ac:dyDescent="0.25">
      <c r="H822" s="2"/>
    </row>
    <row r="823" spans="8:8" ht="13.2" x14ac:dyDescent="0.25">
      <c r="H823" s="2"/>
    </row>
    <row r="824" spans="8:8" ht="13.2" x14ac:dyDescent="0.25">
      <c r="H824" s="2"/>
    </row>
    <row r="825" spans="8:8" ht="13.2" x14ac:dyDescent="0.25">
      <c r="H825" s="2"/>
    </row>
    <row r="826" spans="8:8" ht="13.2" x14ac:dyDescent="0.25">
      <c r="H826" s="2"/>
    </row>
    <row r="827" spans="8:8" ht="13.2" x14ac:dyDescent="0.25">
      <c r="H827" s="2"/>
    </row>
    <row r="828" spans="8:8" ht="13.2" x14ac:dyDescent="0.25">
      <c r="H828" s="2"/>
    </row>
    <row r="829" spans="8:8" ht="13.2" x14ac:dyDescent="0.25">
      <c r="H829" s="2"/>
    </row>
    <row r="830" spans="8:8" ht="13.2" x14ac:dyDescent="0.25">
      <c r="H830" s="2"/>
    </row>
    <row r="831" spans="8:8" ht="13.2" x14ac:dyDescent="0.25">
      <c r="H831" s="2"/>
    </row>
    <row r="832" spans="8:8" ht="13.2" x14ac:dyDescent="0.25">
      <c r="H832" s="2"/>
    </row>
    <row r="833" spans="8:8" ht="13.2" x14ac:dyDescent="0.25">
      <c r="H833" s="2"/>
    </row>
    <row r="834" spans="8:8" ht="13.2" x14ac:dyDescent="0.25">
      <c r="H834" s="2"/>
    </row>
    <row r="835" spans="8:8" ht="13.2" x14ac:dyDescent="0.25">
      <c r="H835" s="2"/>
    </row>
    <row r="836" spans="8:8" ht="13.2" x14ac:dyDescent="0.25">
      <c r="H836" s="2"/>
    </row>
    <row r="837" spans="8:8" ht="13.2" x14ac:dyDescent="0.25">
      <c r="H837" s="2"/>
    </row>
    <row r="838" spans="8:8" ht="13.2" x14ac:dyDescent="0.25">
      <c r="H838" s="2"/>
    </row>
    <row r="839" spans="8:8" ht="13.2" x14ac:dyDescent="0.25">
      <c r="H839" s="2"/>
    </row>
    <row r="840" spans="8:8" ht="13.2" x14ac:dyDescent="0.25">
      <c r="H840" s="2"/>
    </row>
    <row r="841" spans="8:8" ht="13.2" x14ac:dyDescent="0.25">
      <c r="H841" s="2"/>
    </row>
    <row r="842" spans="8:8" ht="13.2" x14ac:dyDescent="0.25">
      <c r="H842" s="2"/>
    </row>
    <row r="843" spans="8:8" ht="13.2" x14ac:dyDescent="0.25">
      <c r="H843" s="2"/>
    </row>
    <row r="844" spans="8:8" ht="13.2" x14ac:dyDescent="0.25">
      <c r="H844" s="2"/>
    </row>
    <row r="845" spans="8:8" ht="13.2" x14ac:dyDescent="0.25">
      <c r="H845" s="2"/>
    </row>
    <row r="846" spans="8:8" ht="13.2" x14ac:dyDescent="0.25">
      <c r="H846" s="2"/>
    </row>
    <row r="847" spans="8:8" ht="13.2" x14ac:dyDescent="0.25">
      <c r="H847" s="2"/>
    </row>
    <row r="848" spans="8:8" ht="13.2" x14ac:dyDescent="0.25">
      <c r="H848" s="2"/>
    </row>
    <row r="849" spans="8:8" ht="13.2" x14ac:dyDescent="0.25">
      <c r="H849" s="2"/>
    </row>
    <row r="850" spans="8:8" ht="13.2" x14ac:dyDescent="0.25">
      <c r="H850" s="2"/>
    </row>
    <row r="851" spans="8:8" ht="13.2" x14ac:dyDescent="0.25">
      <c r="H851" s="2"/>
    </row>
    <row r="852" spans="8:8" ht="13.2" x14ac:dyDescent="0.25">
      <c r="H852" s="2"/>
    </row>
    <row r="853" spans="8:8" ht="13.2" x14ac:dyDescent="0.25">
      <c r="H853" s="2"/>
    </row>
    <row r="854" spans="8:8" ht="13.2" x14ac:dyDescent="0.25">
      <c r="H854" s="2"/>
    </row>
    <row r="855" spans="8:8" ht="13.2" x14ac:dyDescent="0.25">
      <c r="H855" s="2"/>
    </row>
    <row r="856" spans="8:8" ht="13.2" x14ac:dyDescent="0.25">
      <c r="H856" s="2"/>
    </row>
    <row r="857" spans="8:8" ht="13.2" x14ac:dyDescent="0.25">
      <c r="H857" s="2"/>
    </row>
    <row r="858" spans="8:8" ht="13.2" x14ac:dyDescent="0.25">
      <c r="H858" s="2"/>
    </row>
    <row r="859" spans="8:8" ht="13.2" x14ac:dyDescent="0.25">
      <c r="H859" s="2"/>
    </row>
    <row r="860" spans="8:8" ht="13.2" x14ac:dyDescent="0.25">
      <c r="H860" s="2"/>
    </row>
    <row r="861" spans="8:8" ht="13.2" x14ac:dyDescent="0.25">
      <c r="H861" s="2"/>
    </row>
    <row r="862" spans="8:8" ht="13.2" x14ac:dyDescent="0.25">
      <c r="H862" s="2"/>
    </row>
    <row r="863" spans="8:8" ht="13.2" x14ac:dyDescent="0.25">
      <c r="H863" s="2"/>
    </row>
    <row r="864" spans="8:8" ht="13.2" x14ac:dyDescent="0.25">
      <c r="H864" s="2"/>
    </row>
    <row r="865" spans="8:8" ht="13.2" x14ac:dyDescent="0.25">
      <c r="H865" s="2"/>
    </row>
    <row r="866" spans="8:8" ht="13.2" x14ac:dyDescent="0.25">
      <c r="H866" s="2"/>
    </row>
    <row r="867" spans="8:8" ht="13.2" x14ac:dyDescent="0.25">
      <c r="H867" s="2"/>
    </row>
    <row r="868" spans="8:8" ht="13.2" x14ac:dyDescent="0.25">
      <c r="H868" s="2"/>
    </row>
    <row r="869" spans="8:8" ht="13.2" x14ac:dyDescent="0.25">
      <c r="H869" s="2"/>
    </row>
    <row r="870" spans="8:8" ht="13.2" x14ac:dyDescent="0.25">
      <c r="H870" s="2"/>
    </row>
    <row r="871" spans="8:8" ht="13.2" x14ac:dyDescent="0.25">
      <c r="H871" s="2"/>
    </row>
    <row r="872" spans="8:8" ht="13.2" x14ac:dyDescent="0.25">
      <c r="H872" s="2"/>
    </row>
    <row r="873" spans="8:8" ht="13.2" x14ac:dyDescent="0.25">
      <c r="H873" s="2"/>
    </row>
    <row r="874" spans="8:8" ht="13.2" x14ac:dyDescent="0.25">
      <c r="H874" s="2"/>
    </row>
    <row r="875" spans="8:8" ht="13.2" x14ac:dyDescent="0.25">
      <c r="H875" s="2"/>
    </row>
    <row r="876" spans="8:8" ht="13.2" x14ac:dyDescent="0.25">
      <c r="H876" s="2"/>
    </row>
    <row r="877" spans="8:8" ht="13.2" x14ac:dyDescent="0.25">
      <c r="H877" s="2"/>
    </row>
    <row r="878" spans="8:8" ht="13.2" x14ac:dyDescent="0.25">
      <c r="H878" s="2"/>
    </row>
    <row r="879" spans="8:8" ht="13.2" x14ac:dyDescent="0.25">
      <c r="H879" s="2"/>
    </row>
    <row r="880" spans="8:8" ht="13.2" x14ac:dyDescent="0.25">
      <c r="H880" s="2"/>
    </row>
    <row r="881" spans="8:8" ht="13.2" x14ac:dyDescent="0.25">
      <c r="H881" s="2"/>
    </row>
    <row r="882" spans="8:8" ht="13.2" x14ac:dyDescent="0.25">
      <c r="H882" s="2"/>
    </row>
    <row r="883" spans="8:8" ht="13.2" x14ac:dyDescent="0.25">
      <c r="H883" s="2"/>
    </row>
    <row r="884" spans="8:8" ht="13.2" x14ac:dyDescent="0.25">
      <c r="H884" s="2"/>
    </row>
    <row r="885" spans="8:8" ht="13.2" x14ac:dyDescent="0.25">
      <c r="H885" s="2"/>
    </row>
    <row r="886" spans="8:8" ht="13.2" x14ac:dyDescent="0.25">
      <c r="H886" s="2"/>
    </row>
    <row r="887" spans="8:8" ht="13.2" x14ac:dyDescent="0.25">
      <c r="H887" s="2"/>
    </row>
    <row r="888" spans="8:8" ht="13.2" x14ac:dyDescent="0.25">
      <c r="H888" s="2"/>
    </row>
    <row r="889" spans="8:8" ht="13.2" x14ac:dyDescent="0.25">
      <c r="H889" s="2"/>
    </row>
    <row r="890" spans="8:8" ht="13.2" x14ac:dyDescent="0.25">
      <c r="H890" s="2"/>
    </row>
    <row r="891" spans="8:8" ht="13.2" x14ac:dyDescent="0.25">
      <c r="H891" s="2"/>
    </row>
    <row r="892" spans="8:8" ht="13.2" x14ac:dyDescent="0.25">
      <c r="H892" s="2"/>
    </row>
    <row r="893" spans="8:8" ht="13.2" x14ac:dyDescent="0.25">
      <c r="H893" s="2"/>
    </row>
    <row r="894" spans="8:8" ht="13.2" x14ac:dyDescent="0.25">
      <c r="H894" s="2"/>
    </row>
    <row r="895" spans="8:8" ht="13.2" x14ac:dyDescent="0.25">
      <c r="H895" s="2"/>
    </row>
    <row r="896" spans="8:8" ht="13.2" x14ac:dyDescent="0.25">
      <c r="H896" s="2"/>
    </row>
    <row r="897" spans="8:8" ht="13.2" x14ac:dyDescent="0.25">
      <c r="H897" s="2"/>
    </row>
    <row r="898" spans="8:8" ht="13.2" x14ac:dyDescent="0.25">
      <c r="H898" s="2"/>
    </row>
    <row r="899" spans="8:8" ht="13.2" x14ac:dyDescent="0.25">
      <c r="H899" s="2"/>
    </row>
    <row r="900" spans="8:8" ht="13.2" x14ac:dyDescent="0.25">
      <c r="H900" s="2"/>
    </row>
    <row r="901" spans="8:8" ht="13.2" x14ac:dyDescent="0.25">
      <c r="H901" s="2"/>
    </row>
    <row r="902" spans="8:8" ht="13.2" x14ac:dyDescent="0.25">
      <c r="H902" s="2"/>
    </row>
    <row r="903" spans="8:8" ht="13.2" x14ac:dyDescent="0.25">
      <c r="H903" s="2"/>
    </row>
    <row r="904" spans="8:8" ht="13.2" x14ac:dyDescent="0.25">
      <c r="H904" s="2"/>
    </row>
    <row r="905" spans="8:8" ht="13.2" x14ac:dyDescent="0.25">
      <c r="H905" s="2"/>
    </row>
    <row r="906" spans="8:8" ht="13.2" x14ac:dyDescent="0.25">
      <c r="H906" s="2"/>
    </row>
    <row r="907" spans="8:8" ht="13.2" x14ac:dyDescent="0.25">
      <c r="H907" s="2"/>
    </row>
    <row r="908" spans="8:8" ht="13.2" x14ac:dyDescent="0.25">
      <c r="H908" s="2"/>
    </row>
    <row r="909" spans="8:8" ht="13.2" x14ac:dyDescent="0.25">
      <c r="H909" s="2"/>
    </row>
    <row r="910" spans="8:8" ht="13.2" x14ac:dyDescent="0.25">
      <c r="H910" s="2"/>
    </row>
    <row r="911" spans="8:8" ht="13.2" x14ac:dyDescent="0.25">
      <c r="H911" s="2"/>
    </row>
    <row r="912" spans="8:8" ht="13.2" x14ac:dyDescent="0.25">
      <c r="H912" s="2"/>
    </row>
    <row r="913" spans="8:8" ht="13.2" x14ac:dyDescent="0.25">
      <c r="H913" s="2"/>
    </row>
    <row r="914" spans="8:8" ht="13.2" x14ac:dyDescent="0.25">
      <c r="H914" s="2"/>
    </row>
    <row r="915" spans="8:8" ht="13.2" x14ac:dyDescent="0.25">
      <c r="H915" s="2"/>
    </row>
    <row r="916" spans="8:8" ht="13.2" x14ac:dyDescent="0.25">
      <c r="H916" s="2"/>
    </row>
    <row r="917" spans="8:8" ht="13.2" x14ac:dyDescent="0.25">
      <c r="H917" s="2"/>
    </row>
    <row r="918" spans="8:8" ht="13.2" x14ac:dyDescent="0.25">
      <c r="H918" s="2"/>
    </row>
    <row r="919" spans="8:8" ht="13.2" x14ac:dyDescent="0.25">
      <c r="H919" s="2"/>
    </row>
    <row r="920" spans="8:8" ht="13.2" x14ac:dyDescent="0.25">
      <c r="H920" s="2"/>
    </row>
    <row r="921" spans="8:8" ht="13.2" x14ac:dyDescent="0.25">
      <c r="H921" s="2"/>
    </row>
    <row r="922" spans="8:8" ht="13.2" x14ac:dyDescent="0.25">
      <c r="H922" s="2"/>
    </row>
    <row r="923" spans="8:8" ht="13.2" x14ac:dyDescent="0.25">
      <c r="H923" s="2"/>
    </row>
    <row r="924" spans="8:8" ht="13.2" x14ac:dyDescent="0.25">
      <c r="H924" s="2"/>
    </row>
    <row r="925" spans="8:8" ht="13.2" x14ac:dyDescent="0.25">
      <c r="H925" s="2"/>
    </row>
    <row r="926" spans="8:8" ht="13.2" x14ac:dyDescent="0.25">
      <c r="H926" s="2"/>
    </row>
    <row r="927" spans="8:8" ht="13.2" x14ac:dyDescent="0.25">
      <c r="H927" s="2"/>
    </row>
    <row r="928" spans="8:8" ht="13.2" x14ac:dyDescent="0.25">
      <c r="H928" s="2"/>
    </row>
    <row r="929" spans="8:8" ht="13.2" x14ac:dyDescent="0.25">
      <c r="H929" s="2"/>
    </row>
    <row r="930" spans="8:8" ht="13.2" x14ac:dyDescent="0.25">
      <c r="H930" s="2"/>
    </row>
    <row r="931" spans="8:8" ht="13.2" x14ac:dyDescent="0.25">
      <c r="H931" s="2"/>
    </row>
    <row r="932" spans="8:8" ht="13.2" x14ac:dyDescent="0.25">
      <c r="H932" s="2"/>
    </row>
    <row r="933" spans="8:8" ht="13.2" x14ac:dyDescent="0.25">
      <c r="H933" s="2"/>
    </row>
    <row r="934" spans="8:8" ht="13.2" x14ac:dyDescent="0.25">
      <c r="H934" s="2"/>
    </row>
    <row r="935" spans="8:8" ht="13.2" x14ac:dyDescent="0.25">
      <c r="H935" s="2"/>
    </row>
    <row r="936" spans="8:8" ht="13.2" x14ac:dyDescent="0.25">
      <c r="H936" s="2"/>
    </row>
    <row r="937" spans="8:8" ht="13.2" x14ac:dyDescent="0.25">
      <c r="H937" s="2"/>
    </row>
    <row r="938" spans="8:8" ht="13.2" x14ac:dyDescent="0.25">
      <c r="H938" s="2"/>
    </row>
    <row r="939" spans="8:8" ht="13.2" x14ac:dyDescent="0.25">
      <c r="H939" s="2"/>
    </row>
    <row r="940" spans="8:8" ht="13.2" x14ac:dyDescent="0.25">
      <c r="H940" s="2"/>
    </row>
    <row r="941" spans="8:8" ht="13.2" x14ac:dyDescent="0.25">
      <c r="H941" s="2"/>
    </row>
    <row r="942" spans="8:8" ht="13.2" x14ac:dyDescent="0.25">
      <c r="H942" s="2"/>
    </row>
    <row r="943" spans="8:8" ht="13.2" x14ac:dyDescent="0.25">
      <c r="H943" s="2"/>
    </row>
    <row r="944" spans="8:8" ht="13.2" x14ac:dyDescent="0.25">
      <c r="H944" s="2"/>
    </row>
    <row r="945" spans="8:8" ht="13.2" x14ac:dyDescent="0.25">
      <c r="H945" s="2"/>
    </row>
    <row r="946" spans="8:8" ht="13.2" x14ac:dyDescent="0.25">
      <c r="H946" s="2"/>
    </row>
    <row r="947" spans="8:8" ht="13.2" x14ac:dyDescent="0.25">
      <c r="H947" s="2"/>
    </row>
    <row r="948" spans="8:8" ht="13.2" x14ac:dyDescent="0.25">
      <c r="H948" s="2"/>
    </row>
    <row r="949" spans="8:8" ht="13.2" x14ac:dyDescent="0.25">
      <c r="H949" s="2"/>
    </row>
    <row r="950" spans="8:8" ht="13.2" x14ac:dyDescent="0.25">
      <c r="H950" s="2"/>
    </row>
    <row r="951" spans="8:8" ht="13.2" x14ac:dyDescent="0.25">
      <c r="H951" s="2"/>
    </row>
    <row r="952" spans="8:8" ht="13.2" x14ac:dyDescent="0.25">
      <c r="H952" s="2"/>
    </row>
    <row r="953" spans="8:8" ht="13.2" x14ac:dyDescent="0.25">
      <c r="H953" s="2"/>
    </row>
    <row r="954" spans="8:8" ht="13.2" x14ac:dyDescent="0.25">
      <c r="H954" s="2"/>
    </row>
    <row r="955" spans="8:8" ht="13.2" x14ac:dyDescent="0.25">
      <c r="H955" s="2"/>
    </row>
    <row r="956" spans="8:8" ht="13.2" x14ac:dyDescent="0.25">
      <c r="H956" s="2"/>
    </row>
    <row r="957" spans="8:8" ht="13.2" x14ac:dyDescent="0.25">
      <c r="H957" s="2"/>
    </row>
    <row r="958" spans="8:8" ht="13.2" x14ac:dyDescent="0.25">
      <c r="H958" s="2"/>
    </row>
    <row r="959" spans="8:8" ht="13.2" x14ac:dyDescent="0.25">
      <c r="H959" s="2"/>
    </row>
    <row r="960" spans="8:8" ht="13.2" x14ac:dyDescent="0.25">
      <c r="H960" s="2"/>
    </row>
    <row r="961" spans="8:8" ht="13.2" x14ac:dyDescent="0.25">
      <c r="H961" s="2"/>
    </row>
    <row r="962" spans="8:8" ht="13.2" x14ac:dyDescent="0.25">
      <c r="H962" s="2"/>
    </row>
    <row r="963" spans="8:8" ht="13.2" x14ac:dyDescent="0.25">
      <c r="H963" s="2"/>
    </row>
    <row r="964" spans="8:8" ht="13.2" x14ac:dyDescent="0.25">
      <c r="H964" s="2"/>
    </row>
    <row r="965" spans="8:8" ht="13.2" x14ac:dyDescent="0.25">
      <c r="H965" s="2"/>
    </row>
    <row r="966" spans="8:8" ht="13.2" x14ac:dyDescent="0.25">
      <c r="H966" s="2"/>
    </row>
    <row r="967" spans="8:8" ht="13.2" x14ac:dyDescent="0.25">
      <c r="H967" s="2"/>
    </row>
    <row r="968" spans="8:8" ht="13.2" x14ac:dyDescent="0.25">
      <c r="H968" s="2"/>
    </row>
    <row r="969" spans="8:8" ht="13.2" x14ac:dyDescent="0.25">
      <c r="H969" s="2"/>
    </row>
    <row r="970" spans="8:8" ht="13.2" x14ac:dyDescent="0.25">
      <c r="H970" s="2"/>
    </row>
    <row r="971" spans="8:8" ht="13.2" x14ac:dyDescent="0.25">
      <c r="H971" s="2"/>
    </row>
    <row r="972" spans="8:8" ht="13.2" x14ac:dyDescent="0.25">
      <c r="H972" s="2"/>
    </row>
    <row r="973" spans="8:8" ht="13.2" x14ac:dyDescent="0.25">
      <c r="H973" s="2"/>
    </row>
    <row r="974" spans="8:8" ht="13.2" x14ac:dyDescent="0.25">
      <c r="H974" s="2"/>
    </row>
    <row r="975" spans="8:8" ht="13.2" x14ac:dyDescent="0.25">
      <c r="H975" s="2"/>
    </row>
    <row r="976" spans="8:8" ht="13.2" x14ac:dyDescent="0.25">
      <c r="H976" s="2"/>
    </row>
    <row r="977" spans="8:8" ht="13.2" x14ac:dyDescent="0.25">
      <c r="H977" s="2"/>
    </row>
    <row r="978" spans="8:8" ht="13.2" x14ac:dyDescent="0.25">
      <c r="H978" s="2"/>
    </row>
    <row r="979" spans="8:8" ht="13.2" x14ac:dyDescent="0.25">
      <c r="H979" s="2"/>
    </row>
    <row r="980" spans="8:8" ht="13.2" x14ac:dyDescent="0.25">
      <c r="H980" s="2"/>
    </row>
    <row r="981" spans="8:8" ht="13.2" x14ac:dyDescent="0.25">
      <c r="H981" s="2"/>
    </row>
    <row r="982" spans="8:8" ht="13.2" x14ac:dyDescent="0.25">
      <c r="H982" s="2"/>
    </row>
    <row r="983" spans="8:8" ht="13.2" x14ac:dyDescent="0.25">
      <c r="H983" s="2"/>
    </row>
    <row r="984" spans="8:8" ht="13.2" x14ac:dyDescent="0.25">
      <c r="H984" s="2"/>
    </row>
    <row r="985" spans="8:8" ht="13.2" x14ac:dyDescent="0.25">
      <c r="H985" s="2"/>
    </row>
    <row r="986" spans="8:8" ht="13.2" x14ac:dyDescent="0.25">
      <c r="H986" s="2"/>
    </row>
    <row r="987" spans="8:8" ht="13.2" x14ac:dyDescent="0.25">
      <c r="H987" s="2"/>
    </row>
    <row r="988" spans="8:8" ht="13.2" x14ac:dyDescent="0.25">
      <c r="H988" s="2"/>
    </row>
    <row r="989" spans="8:8" ht="13.2" x14ac:dyDescent="0.25">
      <c r="H989" s="2"/>
    </row>
    <row r="990" spans="8:8" ht="13.2" x14ac:dyDescent="0.25">
      <c r="H990" s="2"/>
    </row>
    <row r="991" spans="8:8" ht="13.2" x14ac:dyDescent="0.25">
      <c r="H991" s="2"/>
    </row>
    <row r="992" spans="8:8" ht="13.2" x14ac:dyDescent="0.25">
      <c r="H992" s="2"/>
    </row>
    <row r="993" spans="8:8" ht="13.2" x14ac:dyDescent="0.25">
      <c r="H993" s="2"/>
    </row>
    <row r="994" spans="8:8" ht="13.2" x14ac:dyDescent="0.25">
      <c r="H994" s="2"/>
    </row>
    <row r="995" spans="8:8" ht="13.2" x14ac:dyDescent="0.25">
      <c r="H995" s="2"/>
    </row>
    <row r="996" spans="8:8" ht="13.2" x14ac:dyDescent="0.25">
      <c r="H996" s="2"/>
    </row>
    <row r="997" spans="8:8" ht="13.2" x14ac:dyDescent="0.25">
      <c r="H997" s="2"/>
    </row>
    <row r="998" spans="8:8" ht="13.2" x14ac:dyDescent="0.25">
      <c r="H998" s="2"/>
    </row>
    <row r="999" spans="8:8" ht="13.2" x14ac:dyDescent="0.25">
      <c r="H999" s="2"/>
    </row>
    <row r="1000" spans="8:8" ht="13.2" x14ac:dyDescent="0.25">
      <c r="H1000" s="2"/>
    </row>
    <row r="1001" spans="8:8" ht="13.2" x14ac:dyDescent="0.25">
      <c r="H1001" s="2"/>
    </row>
    <row r="1002" spans="8:8" ht="13.2" x14ac:dyDescent="0.25">
      <c r="H1002" s="2"/>
    </row>
    <row r="1003" spans="8:8" ht="13.2" x14ac:dyDescent="0.25">
      <c r="H1003" s="2"/>
    </row>
  </sheetData>
  <sheetProtection algorithmName="SHA-512" hashValue="i/Jw4ewwxNdPIH753+fJUkEDzpJO8bCFFlTdfR1nDsgDagPU6IQyeHaFRWuU1EfprENF80lu15FrTPIch1JwKg==" saltValue="0X7sYLjUJodUt+h2SN9x0Q==" spinCount="100000" sheet="1" objects="1" scenarios="1" selectLockedCells="1"/>
  <mergeCells count="2">
    <mergeCell ref="C12:D12"/>
    <mergeCell ref="J11:K11"/>
  </mergeCells>
  <phoneticPr fontId="1" type="noConversion"/>
  <conditionalFormatting sqref="N13:N72">
    <cfRule type="cellIs" dxfId="0" priority="8" operator="greaterThanOrEqual">
      <formula>$C$3</formula>
    </cfRule>
  </conditionalFormatting>
  <pageMargins left="0.511811024" right="0.511811024" top="0.78740157499999996" bottom="0.78740157499999996" header="0.31496062000000002" footer="0.31496062000000002"/>
  <pageSetup paperSize="9" fitToWidth="5" fitToHeight="3"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E5F02C7-2508-4DDD-A148-5CF4C7C2674C}">
  <dimension ref="A1"/>
  <sheetViews>
    <sheetView zoomScale="78" zoomScaleNormal="78" workbookViewId="0">
      <pane ySplit="1" topLeftCell="A2" activePane="bottomLeft" state="frozen"/>
      <selection pane="bottomLeft"/>
    </sheetView>
  </sheetViews>
  <sheetFormatPr defaultRowHeight="13.2" x14ac:dyDescent="0.25"/>
  <cols>
    <col min="1" max="16384" width="8.88671875" style="4"/>
  </cols>
  <sheetData>
    <row r="1" ht="69.599999999999994" customHeight="1" x14ac:dyDescent="0.25"/>
  </sheetData>
  <pageMargins left="0.511811024" right="0.511811024" top="0.78740157499999996" bottom="0.78740157499999996" header="0.31496062000000002" footer="0.31496062000000002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DEFINIR META</vt:lpstr>
      <vt:lpstr>GRÁFICOS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tiago brendon</dc:creator>
  <cp:lastModifiedBy>Pedro DxD</cp:lastModifiedBy>
  <dcterms:created xsi:type="dcterms:W3CDTF">2022-06-01T15:10:34Z</dcterms:created>
  <dcterms:modified xsi:type="dcterms:W3CDTF">2022-07-11T02:24:30Z</dcterms:modified>
</cp:coreProperties>
</file>